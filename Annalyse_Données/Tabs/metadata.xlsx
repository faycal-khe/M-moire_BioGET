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ycalkhetim/Desktop/STAGE/Annalyse Données/Tabs/"/>
    </mc:Choice>
  </mc:AlternateContent>
  <xr:revisionPtr revIDLastSave="0" documentId="13_ncr:1_{CDD633A4-A4A3-E74D-89FE-6C8D38D116C6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6" i="1" l="1"/>
  <c r="C37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<sst xmlns="http://schemas.openxmlformats.org/spreadsheetml/2006/main" count="297" uniqueCount="252">
  <si>
    <t>accession</t>
  </si>
  <si>
    <t>organism</t>
  </si>
  <si>
    <t>name</t>
  </si>
  <si>
    <t>strain</t>
  </si>
  <si>
    <t>sub_species</t>
  </si>
  <si>
    <t>culture_collection</t>
  </si>
  <si>
    <t>type_material</t>
  </si>
  <si>
    <t>db_xref</t>
  </si>
  <si>
    <t>note</t>
  </si>
  <si>
    <t>submitter_seqid</t>
  </si>
  <si>
    <t>isolation_source</t>
  </si>
  <si>
    <t>host</t>
  </si>
  <si>
    <t>geo_loc_name</t>
  </si>
  <si>
    <t>lat_lon</t>
  </si>
  <si>
    <t>map</t>
  </si>
  <si>
    <t>plasmid</t>
  </si>
  <si>
    <t>collection_date</t>
  </si>
  <si>
    <t>collected_by</t>
  </si>
  <si>
    <t>culture_collection...5</t>
  </si>
  <si>
    <t>culture_collection...6</t>
  </si>
  <si>
    <t>isolate</t>
  </si>
  <si>
    <t>chromosome</t>
  </si>
  <si>
    <t>GCF_000025565.1</t>
  </si>
  <si>
    <t>Enterobacter cloacae subsp. Cloacae</t>
  </si>
  <si>
    <t>ATCC 13047</t>
  </si>
  <si>
    <t>cloacae</t>
  </si>
  <si>
    <t>ATCC:13047</t>
  </si>
  <si>
    <t>type strain of Enterobacter cloacae</t>
  </si>
  <si>
    <t>taxon:716541</t>
  </si>
  <si>
    <t>type strain of Enterobacter cloacae subsp. cloacae</t>
  </si>
  <si>
    <t>GCF_000155995.1</t>
  </si>
  <si>
    <t>Enterobacter cancerogenus</t>
  </si>
  <si>
    <t>ATCC 35316</t>
  </si>
  <si>
    <t>ATCC:35316</t>
  </si>
  <si>
    <t>taxon:500639</t>
  </si>
  <si>
    <t>Scfld9</t>
  </si>
  <si>
    <t>biological product [ENVO:02000043]</t>
  </si>
  <si>
    <t>Homo sapiens</t>
  </si>
  <si>
    <t>GCF_000224675.1</t>
  </si>
  <si>
    <t>Enterobacter soli</t>
  </si>
  <si>
    <t>LF7a</t>
  </si>
  <si>
    <t>taxon:885040</t>
  </si>
  <si>
    <t>not provided; submitted under MIGS 2.1</t>
  </si>
  <si>
    <t>GCF_001729805.1</t>
  </si>
  <si>
    <t>Enterobacter roggenkampii</t>
  </si>
  <si>
    <t>DSM 16690</t>
  </si>
  <si>
    <t>DSM:16690</t>
  </si>
  <si>
    <t>type strain of Enterobacter roggenkampii</t>
  </si>
  <si>
    <t>taxon:1812935</t>
  </si>
  <si>
    <t>Germany</t>
  </si>
  <si>
    <t>52.4 N 9.7 E</t>
  </si>
  <si>
    <t>GCF_001750725.1</t>
  </si>
  <si>
    <t>Enterobacter ludwigii</t>
  </si>
  <si>
    <t>EN-119</t>
  </si>
  <si>
    <t>type strain of Enterobacter ludwigii</t>
  </si>
  <si>
    <t>taxon:299767</t>
  </si>
  <si>
    <t>GCF_001875655.1</t>
  </si>
  <si>
    <t>Enterobacter hormaechei</t>
  </si>
  <si>
    <t>ATCC 49162</t>
  </si>
  <si>
    <t>hormaechei</t>
  </si>
  <si>
    <t>ATCC:49162</t>
  </si>
  <si>
    <t>type strain of Enterobacter hormaechei</t>
  </si>
  <si>
    <t>taxon:888063</t>
  </si>
  <si>
    <t>pATCC_49162</t>
  </si>
  <si>
    <t>unlocalized</t>
  </si>
  <si>
    <t>GCF_001984825.2</t>
  </si>
  <si>
    <t>Enterobacter chengduensis</t>
  </si>
  <si>
    <t>WCHECl-C4 = WCHECh050004</t>
  </si>
  <si>
    <t>type strain of Enterobacter chengduensis</t>
  </si>
  <si>
    <t>taxon:2494701</t>
  </si>
  <si>
    <t>blood</t>
  </si>
  <si>
    <t>China: Chengdu, Sichuan</t>
  </si>
  <si>
    <t>30.6416 N 104.061 E</t>
  </si>
  <si>
    <t>2015-02-01</t>
  </si>
  <si>
    <t>WCH</t>
  </si>
  <si>
    <t>GCF_003594915.1</t>
  </si>
  <si>
    <t>Enterobacter chuandaensis</t>
  </si>
  <si>
    <t>090028</t>
  </si>
  <si>
    <t>type strain of Enterobacter chuandaensis</t>
  </si>
  <si>
    <t>taxon:2497875</t>
  </si>
  <si>
    <t>2017</t>
  </si>
  <si>
    <t>GCF_003594935.2</t>
  </si>
  <si>
    <t>Enterobacter huaxiensis</t>
  </si>
  <si>
    <t>090008</t>
  </si>
  <si>
    <t>type strain of Enterobacter huaxiensis</t>
  </si>
  <si>
    <t>taxon:2494702</t>
  </si>
  <si>
    <t>GCF_004331385.1</t>
  </si>
  <si>
    <t>Enterobacter quasihormaechei</t>
  </si>
  <si>
    <t>WCHEQ120003</t>
  </si>
  <si>
    <t>taxon:2529382</t>
  </si>
  <si>
    <t>2016</t>
  </si>
  <si>
    <t>GCF_007035805.1</t>
  </si>
  <si>
    <t>Enterobacter asburiae</t>
  </si>
  <si>
    <t>17Nkhm-UP2</t>
  </si>
  <si>
    <t>taxon:61645</t>
  </si>
  <si>
    <t>water</t>
  </si>
  <si>
    <t>Japan:Osaka</t>
  </si>
  <si>
    <t>2017-09</t>
  </si>
  <si>
    <t>GCF_008364625.2</t>
  </si>
  <si>
    <t>Enterobacter dykesii</t>
  </si>
  <si>
    <t>E1</t>
  </si>
  <si>
    <t>type material of Enterobacter dykesii</t>
  </si>
  <si>
    <t>taxon:2797506</t>
  </si>
  <si>
    <t>Beansprouts</t>
  </si>
  <si>
    <t>2015-05-02</t>
  </si>
  <si>
    <t>GCF_009036245.1</t>
  </si>
  <si>
    <t>Enterobacter sichuanensis</t>
  </si>
  <si>
    <t>SGAir0282</t>
  </si>
  <si>
    <t>taxon:2071710</t>
  </si>
  <si>
    <t>air</t>
  </si>
  <si>
    <t>Singapore</t>
  </si>
  <si>
    <t>2015-05-14</t>
  </si>
  <si>
    <t>GCF_009176645.1</t>
  </si>
  <si>
    <t>Enterobacter oligotrophicus</t>
  </si>
  <si>
    <t>CCA6</t>
  </si>
  <si>
    <t>taxon:2478464</t>
  </si>
  <si>
    <t>Japan:Hiroshima, Higashi-Hiroshima</t>
  </si>
  <si>
    <t>HUT&lt;JPN&gt;:8142</t>
  </si>
  <si>
    <t>KCTC:62525</t>
  </si>
  <si>
    <t>GCF_014930725.1</t>
  </si>
  <si>
    <t>Enterobacter pasteurii</t>
  </si>
  <si>
    <t>P40RS</t>
  </si>
  <si>
    <t>taxon:3029761</t>
  </si>
  <si>
    <t>contig_0001</t>
  </si>
  <si>
    <t>France</t>
  </si>
  <si>
    <t>2018</t>
  </si>
  <si>
    <t>GCF_018597345.1</t>
  </si>
  <si>
    <t>Enterobacter quasimori</t>
  </si>
  <si>
    <t>120130</t>
  </si>
  <si>
    <t>taxon:2838947</t>
  </si>
  <si>
    <t>contig00001</t>
  </si>
  <si>
    <t>pleural fluid</t>
  </si>
  <si>
    <t>2019-09</t>
  </si>
  <si>
    <t>GCF_019047785.1</t>
  </si>
  <si>
    <t>FDAARGOS 1428</t>
  </si>
  <si>
    <t>DSM:17580</t>
  </si>
  <si>
    <t>type strain of Erwinia cancerogena</t>
  </si>
  <si>
    <t>taxon:69218</t>
  </si>
  <si>
    <t>Germany: Braunschweig</t>
  </si>
  <si>
    <t>DSMZ</t>
  </si>
  <si>
    <t>GCF_019048245.1</t>
  </si>
  <si>
    <t>FDAARGOS 1433</t>
  </si>
  <si>
    <t>DSM:12409</t>
  </si>
  <si>
    <t>taxon:158836</t>
  </si>
  <si>
    <t>GCF_022014715.1</t>
  </si>
  <si>
    <t>Enterobacter mori</t>
  </si>
  <si>
    <t>ACYC.E9L</t>
  </si>
  <si>
    <t>taxon:539813</t>
  </si>
  <si>
    <t>freshwater stream</t>
  </si>
  <si>
    <t>Hong Kong: Pokfulam</t>
  </si>
  <si>
    <t>22.267006 N 114.130216 E</t>
  </si>
  <si>
    <t>Allison C. Y. Cheung</t>
  </si>
  <si>
    <t>GCF_025002605.1</t>
  </si>
  <si>
    <t>WCHECL1597</t>
  </si>
  <si>
    <t>type strain of Enterobacter sichuanensis</t>
  </si>
  <si>
    <t>Irrigation well water</t>
  </si>
  <si>
    <t>23.08495 N 88.59950 E</t>
  </si>
  <si>
    <t>2020-04-08</t>
  </si>
  <si>
    <t>GCF_026344075.1</t>
  </si>
  <si>
    <t>Enterobacter nematophilus</t>
  </si>
  <si>
    <t>E-TC7</t>
  </si>
  <si>
    <t>type strain of Enterobacter nematophilus</t>
  </si>
  <si>
    <t>taxon:2994648</t>
  </si>
  <si>
    <t>Strain6_1a_1</t>
  </si>
  <si>
    <t>soil</t>
  </si>
  <si>
    <t>nematode</t>
  </si>
  <si>
    <t>Switzerland</t>
  </si>
  <si>
    <t>2022-01-01</t>
  </si>
  <si>
    <t>GCF_030406165.1</t>
  </si>
  <si>
    <t>Enterobacter pseudoroggenkampii</t>
  </si>
  <si>
    <t>FY158</t>
  </si>
  <si>
    <t>taxon:2996112</t>
  </si>
  <si>
    <t>rice leaf</t>
  </si>
  <si>
    <t>rice</t>
  </si>
  <si>
    <t>China:Zhejiang,Hangzhou</t>
  </si>
  <si>
    <t>2021-08</t>
  </si>
  <si>
    <t>GCF_034008275.1</t>
  </si>
  <si>
    <t>Enterobacter rongchengensis</t>
  </si>
  <si>
    <t>170250</t>
  </si>
  <si>
    <t>taxon:3030999</t>
  </si>
  <si>
    <t>2022-07-10</t>
  </si>
  <si>
    <t>GCF_034008295.1</t>
  </si>
  <si>
    <t>Enterobacter chinensis</t>
  </si>
  <si>
    <t>170198</t>
  </si>
  <si>
    <t>type strain of Enterobacter chinensis</t>
  </si>
  <si>
    <t>taxon:3030997</t>
  </si>
  <si>
    <t>2022-06-15</t>
  </si>
  <si>
    <t>GCF_035835995.1</t>
  </si>
  <si>
    <t>Enterobacter wuhouensis</t>
  </si>
  <si>
    <t>AV1</t>
  </si>
  <si>
    <t>taxon:2529381</t>
  </si>
  <si>
    <t>China:Anhui</t>
  </si>
  <si>
    <t>2022-08-01</t>
  </si>
  <si>
    <t>GCF_039718975.1</t>
  </si>
  <si>
    <t>E20191216</t>
  </si>
  <si>
    <t>China: Zhejiang</t>
  </si>
  <si>
    <t>Duck</t>
  </si>
  <si>
    <t>China: Hangzhou</t>
  </si>
  <si>
    <t>30.2565 N 119.7282 E</t>
  </si>
  <si>
    <t>2019-12-16</t>
  </si>
  <si>
    <t>Zhejiang A&amp;F University</t>
  </si>
  <si>
    <t>GCF_040834095.1</t>
  </si>
  <si>
    <t>Enterobacter vonholyi</t>
  </si>
  <si>
    <t>STK80-C</t>
  </si>
  <si>
    <t>taxon:2797505</t>
  </si>
  <si>
    <t>Coriander, import product</t>
  </si>
  <si>
    <t>2023</t>
  </si>
  <si>
    <t>GCF_041937165.1</t>
  </si>
  <si>
    <t>Enterobacter adelaidei</t>
  </si>
  <si>
    <t>ECC3473</t>
  </si>
  <si>
    <t>type strain of Enterobacter adelaidei</t>
  </si>
  <si>
    <t>taxon:3142537</t>
  </si>
  <si>
    <t>surface</t>
  </si>
  <si>
    <t>Australia:Adelaide</t>
  </si>
  <si>
    <t>34.88 S 138.45 E</t>
  </si>
  <si>
    <t>2020-05-19</t>
  </si>
  <si>
    <t>GCF_043972695.1</t>
  </si>
  <si>
    <t>Enterobacter quasiroggenkampii</t>
  </si>
  <si>
    <t>ECC-072</t>
  </si>
  <si>
    <t>taxon:2497436</t>
  </si>
  <si>
    <t>urine</t>
  </si>
  <si>
    <t>Taiwan</t>
  </si>
  <si>
    <t>24.18 N 120.60 E</t>
  </si>
  <si>
    <t>VGC</t>
  </si>
  <si>
    <t>GCF_048568405.1</t>
  </si>
  <si>
    <t>Enterobacter intestinihominis</t>
  </si>
  <si>
    <t>JNQH618</t>
  </si>
  <si>
    <t>taxon:3133180</t>
  </si>
  <si>
    <t>China</t>
  </si>
  <si>
    <t>24.26 N 118.04 E</t>
  </si>
  <si>
    <t>2021-06</t>
  </si>
  <si>
    <t>Mingju Hao</t>
  </si>
  <si>
    <t>GCF_900324475.1</t>
  </si>
  <si>
    <t>Enterobacter bugandensis</t>
  </si>
  <si>
    <t>type strain of Enterobacter bugandensis</t>
  </si>
  <si>
    <t>taxon:881260</t>
  </si>
  <si>
    <t>Tanzania</t>
  </si>
  <si>
    <t>2010-01-05</t>
  </si>
  <si>
    <t>EB-247</t>
  </si>
  <si>
    <t>I</t>
  </si>
  <si>
    <t>GCF_905331265.2</t>
  </si>
  <si>
    <t>Enterobacter cloacae</t>
  </si>
  <si>
    <t>taxon:550</t>
  </si>
  <si>
    <t>Spain</t>
  </si>
  <si>
    <t>1382</t>
  </si>
  <si>
    <t>main</t>
  </si>
  <si>
    <t>GCF_023023125.1</t>
  </si>
  <si>
    <t>Enterobacter kobei</t>
  </si>
  <si>
    <t>13FP.B</t>
  </si>
  <si>
    <t>(This Study)</t>
  </si>
  <si>
    <t>29FP.B</t>
  </si>
  <si>
    <t>29FP.c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</si>
</sst>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zoomScaleNormal="100" workbookViewId="0">
      <selection activeCell="A36" sqref="A36"/>
    </sheetView>
  </sheetViews>
  <sheetFormatPr baseColWidth="10" defaultColWidth="10.6640625" defaultRowHeight="15" x14ac:dyDescent="0.2"/>
  <cols>
    <col min="1" max="1" width="17.5" customWidth="1"/>
    <col min="2" max="2" width="42.1640625" customWidth="1"/>
    <col min="3" max="3" width="49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tr">
        <f>_xlfn.CONCAT(B2," (",A2,")")</f>
        <v>Enterobacter cloacae subsp. Cloacae (GCF_000025565.1)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</row>
    <row r="3" spans="1:22" x14ac:dyDescent="0.2">
      <c r="A3" t="s">
        <v>30</v>
      </c>
      <c r="B3" t="s">
        <v>31</v>
      </c>
      <c r="C3" t="str">
        <f>_xlfn.CONCAT(B3," (",A3,")")</f>
        <v>Enterobacter cancerogenus (GCF_000155995.1)</v>
      </c>
      <c r="D3" t="s">
        <v>32</v>
      </c>
      <c r="F3" t="s">
        <v>33</v>
      </c>
      <c r="H3" t="s">
        <v>34</v>
      </c>
      <c r="J3" t="s">
        <v>35</v>
      </c>
      <c r="K3" t="s">
        <v>36</v>
      </c>
      <c r="L3" t="s">
        <v>37</v>
      </c>
    </row>
    <row r="4" spans="1:22" x14ac:dyDescent="0.2">
      <c r="A4" t="s">
        <v>38</v>
      </c>
      <c r="B4" t="s">
        <v>39</v>
      </c>
      <c r="C4" t="str">
        <f>_xlfn.CONCAT(B4," (",A4,")")</f>
        <v>Enterobacter soli (GCF_000224675.1)</v>
      </c>
      <c r="D4" t="s">
        <v>40</v>
      </c>
      <c r="H4" t="s">
        <v>41</v>
      </c>
      <c r="K4" t="s">
        <v>42</v>
      </c>
    </row>
    <row r="5" spans="1:22" x14ac:dyDescent="0.2">
      <c r="A5" t="s">
        <v>43</v>
      </c>
      <c r="B5" t="s">
        <v>44</v>
      </c>
      <c r="C5" t="str">
        <f>_xlfn.CONCAT(B5," (",A5,")")</f>
        <v>Enterobacter roggenkampii (GCF_001729805.1)</v>
      </c>
      <c r="D5" t="s">
        <v>45</v>
      </c>
      <c r="F5" t="s">
        <v>46</v>
      </c>
      <c r="G5" t="s">
        <v>47</v>
      </c>
      <c r="H5" t="s">
        <v>48</v>
      </c>
      <c r="L5" t="s">
        <v>37</v>
      </c>
      <c r="M5" t="s">
        <v>49</v>
      </c>
      <c r="N5" t="s">
        <v>50</v>
      </c>
    </row>
    <row r="6" spans="1:22" x14ac:dyDescent="0.2">
      <c r="A6" t="s">
        <v>51</v>
      </c>
      <c r="B6" t="s">
        <v>52</v>
      </c>
      <c r="C6" t="str">
        <f>_xlfn.CONCAT(B6," (",A6,")")</f>
        <v>Enterobacter ludwigii (GCF_001750725.1)</v>
      </c>
      <c r="D6" t="s">
        <v>53</v>
      </c>
      <c r="G6" t="s">
        <v>54</v>
      </c>
      <c r="H6" t="s">
        <v>55</v>
      </c>
      <c r="L6" t="s">
        <v>37</v>
      </c>
    </row>
    <row r="7" spans="1:22" x14ac:dyDescent="0.2">
      <c r="A7" t="s">
        <v>56</v>
      </c>
      <c r="B7" t="s">
        <v>57</v>
      </c>
      <c r="C7" t="str">
        <f>_xlfn.CONCAT(B7," (",A7,")")</f>
        <v>Enterobacter hormaechei (GCF_001875655.1)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J7" t="s">
        <v>63</v>
      </c>
      <c r="O7" t="s">
        <v>64</v>
      </c>
      <c r="P7" t="s">
        <v>63</v>
      </c>
    </row>
    <row r="8" spans="1:22" x14ac:dyDescent="0.2">
      <c r="A8" t="s">
        <v>65</v>
      </c>
      <c r="B8" t="s">
        <v>66</v>
      </c>
      <c r="C8" t="str">
        <f>_xlfn.CONCAT(B8," (",A8,")")</f>
        <v>Enterobacter chengduensis (GCF_001984825.2)</v>
      </c>
      <c r="D8" t="s">
        <v>67</v>
      </c>
      <c r="G8" t="s">
        <v>68</v>
      </c>
      <c r="H8" t="s">
        <v>69</v>
      </c>
      <c r="K8" t="s">
        <v>70</v>
      </c>
      <c r="L8" t="s">
        <v>37</v>
      </c>
      <c r="M8" t="s">
        <v>71</v>
      </c>
      <c r="N8" t="s">
        <v>72</v>
      </c>
      <c r="Q8" t="s">
        <v>73</v>
      </c>
      <c r="R8" t="s">
        <v>74</v>
      </c>
    </row>
    <row r="9" spans="1:22" x14ac:dyDescent="0.2">
      <c r="A9" t="s">
        <v>75</v>
      </c>
      <c r="B9" t="s">
        <v>76</v>
      </c>
      <c r="C9" t="str">
        <f>_xlfn.CONCAT(B9," (",A9,")")</f>
        <v>Enterobacter chuandaensis (GCF_003594915.1)</v>
      </c>
      <c r="D9" t="s">
        <v>77</v>
      </c>
      <c r="G9" t="s">
        <v>78</v>
      </c>
      <c r="H9" t="s">
        <v>79</v>
      </c>
      <c r="L9" t="s">
        <v>37</v>
      </c>
      <c r="M9" t="s">
        <v>71</v>
      </c>
      <c r="Q9" t="s">
        <v>80</v>
      </c>
    </row>
    <row r="10" spans="1:22" x14ac:dyDescent="0.2">
      <c r="A10" t="s">
        <v>81</v>
      </c>
      <c r="B10" t="s">
        <v>82</v>
      </c>
      <c r="C10" t="str">
        <f>_xlfn.CONCAT(B10," (",A10,")")</f>
        <v>Enterobacter huaxiensis (GCF_003594935.2)</v>
      </c>
      <c r="D10" t="s">
        <v>83</v>
      </c>
      <c r="G10" t="s">
        <v>84</v>
      </c>
      <c r="H10" t="s">
        <v>85</v>
      </c>
      <c r="L10" t="s">
        <v>37</v>
      </c>
      <c r="M10" t="s">
        <v>71</v>
      </c>
      <c r="Q10" t="s">
        <v>80</v>
      </c>
    </row>
    <row r="11" spans="1:22" x14ac:dyDescent="0.2">
      <c r="A11" t="s">
        <v>86</v>
      </c>
      <c r="B11" t="s">
        <v>87</v>
      </c>
      <c r="C11" t="str">
        <f>_xlfn.CONCAT(B11," (",A11,")")</f>
        <v>Enterobacter quasihormaechei (GCF_004331385.1)</v>
      </c>
      <c r="D11" t="s">
        <v>88</v>
      </c>
      <c r="H11" t="s">
        <v>89</v>
      </c>
      <c r="L11" t="s">
        <v>37</v>
      </c>
      <c r="M11" t="s">
        <v>71</v>
      </c>
      <c r="Q11" t="s">
        <v>90</v>
      </c>
    </row>
    <row r="12" spans="1:22" x14ac:dyDescent="0.2">
      <c r="A12" t="s">
        <v>91</v>
      </c>
      <c r="B12" t="s">
        <v>92</v>
      </c>
      <c r="C12" t="str">
        <f>_xlfn.CONCAT(B12," (",A12,")")</f>
        <v>Enterobacter asburiae (GCF_007035805.1)</v>
      </c>
      <c r="D12" t="s">
        <v>93</v>
      </c>
      <c r="H12" t="s">
        <v>94</v>
      </c>
      <c r="K12" t="s">
        <v>95</v>
      </c>
      <c r="M12" t="s">
        <v>96</v>
      </c>
      <c r="Q12" t="s">
        <v>97</v>
      </c>
    </row>
    <row r="13" spans="1:22" x14ac:dyDescent="0.2">
      <c r="A13" t="s">
        <v>98</v>
      </c>
      <c r="B13" t="s">
        <v>99</v>
      </c>
      <c r="C13" t="str">
        <f>_xlfn.CONCAT(B13," (",A13,")")</f>
        <v>Enterobacter dykesii (GCF_008364625.2)</v>
      </c>
      <c r="D13" t="s">
        <v>100</v>
      </c>
      <c r="G13" t="s">
        <v>101</v>
      </c>
      <c r="H13" t="s">
        <v>102</v>
      </c>
      <c r="K13" t="s">
        <v>103</v>
      </c>
      <c r="M13" t="s">
        <v>49</v>
      </c>
      <c r="Q13" t="s">
        <v>104</v>
      </c>
    </row>
    <row r="14" spans="1:22" x14ac:dyDescent="0.2">
      <c r="A14" t="s">
        <v>105</v>
      </c>
      <c r="B14" t="s">
        <v>106</v>
      </c>
      <c r="C14" t="str">
        <f>_xlfn.CONCAT(B14," (",A14,")")</f>
        <v>Enterobacter sichuanensis (GCF_009036245.1)</v>
      </c>
      <c r="D14" t="s">
        <v>107</v>
      </c>
      <c r="H14" t="s">
        <v>108</v>
      </c>
      <c r="K14" t="s">
        <v>109</v>
      </c>
      <c r="M14" t="s">
        <v>110</v>
      </c>
      <c r="Q14" t="s">
        <v>111</v>
      </c>
    </row>
    <row r="15" spans="1:22" x14ac:dyDescent="0.2">
      <c r="A15" t="s">
        <v>112</v>
      </c>
      <c r="B15" t="s">
        <v>113</v>
      </c>
      <c r="C15" t="str">
        <f>_xlfn.CONCAT(B15," (",A15,")")</f>
        <v>Enterobacter oligotrophicus (GCF_009176645.1)</v>
      </c>
      <c r="D15" t="s">
        <v>114</v>
      </c>
      <c r="H15" t="s">
        <v>115</v>
      </c>
      <c r="M15" t="s">
        <v>116</v>
      </c>
      <c r="S15" t="s">
        <v>117</v>
      </c>
      <c r="T15" t="s">
        <v>118</v>
      </c>
    </row>
    <row r="16" spans="1:22" x14ac:dyDescent="0.2">
      <c r="A16" t="s">
        <v>119</v>
      </c>
      <c r="B16" t="s">
        <v>120</v>
      </c>
      <c r="C16" t="str">
        <f>_xlfn.CONCAT(B16," (",A16,")")</f>
        <v>Enterobacter pasteurii (GCF_014930725.1)</v>
      </c>
      <c r="D16" t="s">
        <v>121</v>
      </c>
      <c r="H16" t="s">
        <v>122</v>
      </c>
      <c r="J16" t="s">
        <v>123</v>
      </c>
      <c r="L16" t="s">
        <v>37</v>
      </c>
      <c r="M16" t="s">
        <v>124</v>
      </c>
      <c r="Q16" t="s">
        <v>125</v>
      </c>
    </row>
    <row r="17" spans="1:22" x14ac:dyDescent="0.2">
      <c r="A17" t="s">
        <v>126</v>
      </c>
      <c r="B17" t="s">
        <v>127</v>
      </c>
      <c r="C17" t="str">
        <f>_xlfn.CONCAT(B17," (",A17,")")</f>
        <v>Enterobacter quasimori (GCF_018597345.1)</v>
      </c>
      <c r="D17" t="s">
        <v>128</v>
      </c>
      <c r="H17" t="s">
        <v>129</v>
      </c>
      <c r="J17" t="s">
        <v>130</v>
      </c>
      <c r="K17" t="s">
        <v>131</v>
      </c>
      <c r="L17" t="s">
        <v>37</v>
      </c>
      <c r="M17" t="s">
        <v>71</v>
      </c>
      <c r="Q17" t="s">
        <v>132</v>
      </c>
    </row>
    <row r="18" spans="1:22" x14ac:dyDescent="0.2">
      <c r="A18" t="s">
        <v>133</v>
      </c>
      <c r="B18" t="s">
        <v>31</v>
      </c>
      <c r="C18" t="str">
        <f>_xlfn.CONCAT(B18," (",A18,")")</f>
        <v>Enterobacter cancerogenus (GCF_019047785.1)</v>
      </c>
      <c r="D18" t="s">
        <v>134</v>
      </c>
      <c r="F18" t="s">
        <v>135</v>
      </c>
      <c r="G18" t="s">
        <v>136</v>
      </c>
      <c r="H18" t="s">
        <v>137</v>
      </c>
      <c r="M18" t="s">
        <v>138</v>
      </c>
      <c r="R18" t="s">
        <v>139</v>
      </c>
    </row>
    <row r="19" spans="1:22" x14ac:dyDescent="0.2">
      <c r="A19" t="s">
        <v>140</v>
      </c>
      <c r="B19" t="s">
        <v>57</v>
      </c>
      <c r="C19" t="str">
        <f>_xlfn.CONCAT(B19," (",A19,")")</f>
        <v>Enterobacter hormaechei (GCF_019048245.1)</v>
      </c>
      <c r="D19" t="s">
        <v>141</v>
      </c>
      <c r="F19" t="s">
        <v>142</v>
      </c>
      <c r="G19" t="s">
        <v>61</v>
      </c>
      <c r="H19" t="s">
        <v>143</v>
      </c>
      <c r="M19" t="s">
        <v>138</v>
      </c>
      <c r="R19" t="s">
        <v>139</v>
      </c>
    </row>
    <row r="20" spans="1:22" x14ac:dyDescent="0.2">
      <c r="A20" t="s">
        <v>144</v>
      </c>
      <c r="B20" t="s">
        <v>145</v>
      </c>
      <c r="C20" t="str">
        <f>_xlfn.CONCAT(B20," (",A20,")")</f>
        <v>Enterobacter mori (GCF_022014715.1)</v>
      </c>
      <c r="D20" t="s">
        <v>146</v>
      </c>
      <c r="H20" t="s">
        <v>147</v>
      </c>
      <c r="K20" t="s">
        <v>148</v>
      </c>
      <c r="M20" t="s">
        <v>149</v>
      </c>
      <c r="N20" t="s">
        <v>150</v>
      </c>
      <c r="Q20" t="s">
        <v>132</v>
      </c>
      <c r="R20" t="s">
        <v>151</v>
      </c>
    </row>
    <row r="21" spans="1:22" x14ac:dyDescent="0.2">
      <c r="A21" t="s">
        <v>152</v>
      </c>
      <c r="B21" t="s">
        <v>106</v>
      </c>
      <c r="C21" t="str">
        <f>_xlfn.CONCAT(B21," (",A21,")")</f>
        <v>Enterobacter sichuanensis (GCF_025002605.1)</v>
      </c>
      <c r="D21" t="s">
        <v>153</v>
      </c>
      <c r="G21" t="s">
        <v>154</v>
      </c>
      <c r="H21" t="s">
        <v>108</v>
      </c>
      <c r="K21" t="s">
        <v>155</v>
      </c>
      <c r="N21" t="s">
        <v>156</v>
      </c>
      <c r="Q21" t="s">
        <v>157</v>
      </c>
    </row>
    <row r="22" spans="1:22" x14ac:dyDescent="0.2">
      <c r="A22" t="s">
        <v>158</v>
      </c>
      <c r="B22" t="s">
        <v>159</v>
      </c>
      <c r="C22" t="str">
        <f>_xlfn.CONCAT(B22," (",A22,")")</f>
        <v>Enterobacter nematophilus (GCF_026344075.1)</v>
      </c>
      <c r="D22" t="s">
        <v>160</v>
      </c>
      <c r="G22" t="s">
        <v>161</v>
      </c>
      <c r="H22" t="s">
        <v>162</v>
      </c>
      <c r="J22" t="s">
        <v>163</v>
      </c>
      <c r="K22" t="s">
        <v>164</v>
      </c>
      <c r="L22" t="s">
        <v>165</v>
      </c>
      <c r="M22" t="s">
        <v>166</v>
      </c>
      <c r="Q22" t="s">
        <v>167</v>
      </c>
    </row>
    <row r="23" spans="1:22" x14ac:dyDescent="0.2">
      <c r="A23" t="s">
        <v>168</v>
      </c>
      <c r="B23" t="s">
        <v>169</v>
      </c>
      <c r="C23" t="str">
        <f>_xlfn.CONCAT(B23," (",A23,")")</f>
        <v>Enterobacter pseudoroggenkampii (GCF_030406165.1)</v>
      </c>
      <c r="D23" t="s">
        <v>170</v>
      </c>
      <c r="H23" t="s">
        <v>171</v>
      </c>
      <c r="K23" t="s">
        <v>172</v>
      </c>
      <c r="L23" t="s">
        <v>173</v>
      </c>
      <c r="M23" t="s">
        <v>174</v>
      </c>
      <c r="Q23" t="s">
        <v>175</v>
      </c>
    </row>
    <row r="24" spans="1:22" x14ac:dyDescent="0.2">
      <c r="A24" t="s">
        <v>176</v>
      </c>
      <c r="B24" t="s">
        <v>177</v>
      </c>
      <c r="C24" t="str">
        <f>_xlfn.CONCAT(B24," (",A24,")")</f>
        <v>Enterobacter rongchengensis (GCF_034008275.1)</v>
      </c>
      <c r="D24" t="s">
        <v>178</v>
      </c>
      <c r="H24" t="s">
        <v>179</v>
      </c>
      <c r="J24" t="s">
        <v>130</v>
      </c>
      <c r="K24" t="s">
        <v>70</v>
      </c>
      <c r="L24" t="s">
        <v>37</v>
      </c>
      <c r="M24" t="s">
        <v>71</v>
      </c>
      <c r="Q24" t="s">
        <v>180</v>
      </c>
    </row>
    <row r="25" spans="1:22" x14ac:dyDescent="0.2">
      <c r="A25" t="s">
        <v>181</v>
      </c>
      <c r="B25" t="s">
        <v>182</v>
      </c>
      <c r="C25" t="str">
        <f>_xlfn.CONCAT(B25," (",A25,")")</f>
        <v>Enterobacter chinensis (GCF_034008295.1)</v>
      </c>
      <c r="D25" t="s">
        <v>183</v>
      </c>
      <c r="G25" t="s">
        <v>184</v>
      </c>
      <c r="H25" t="s">
        <v>185</v>
      </c>
      <c r="J25" t="s">
        <v>130</v>
      </c>
      <c r="K25" t="s">
        <v>70</v>
      </c>
      <c r="L25" t="s">
        <v>37</v>
      </c>
      <c r="M25" t="s">
        <v>71</v>
      </c>
      <c r="Q25" t="s">
        <v>186</v>
      </c>
    </row>
    <row r="26" spans="1:22" x14ac:dyDescent="0.2">
      <c r="A26" t="s">
        <v>187</v>
      </c>
      <c r="B26" t="s">
        <v>188</v>
      </c>
      <c r="C26" t="str">
        <f>_xlfn.CONCAT(B26," (",A26,")")</f>
        <v>Enterobacter wuhouensis (GCF_035835995.1)</v>
      </c>
      <c r="D26" t="s">
        <v>189</v>
      </c>
      <c r="H26" t="s">
        <v>190</v>
      </c>
      <c r="K26" t="s">
        <v>164</v>
      </c>
      <c r="M26" t="s">
        <v>191</v>
      </c>
      <c r="Q26" t="s">
        <v>192</v>
      </c>
    </row>
    <row r="27" spans="1:22" x14ac:dyDescent="0.2">
      <c r="A27" t="s">
        <v>193</v>
      </c>
      <c r="B27" t="s">
        <v>76</v>
      </c>
      <c r="C27" t="str">
        <f>_xlfn.CONCAT(B27," (",A27,")")</f>
        <v>Enterobacter chuandaensis (GCF_039718975.1)</v>
      </c>
      <c r="D27" t="s">
        <v>194</v>
      </c>
      <c r="H27" t="s">
        <v>79</v>
      </c>
      <c r="K27" t="s">
        <v>195</v>
      </c>
      <c r="L27" t="s">
        <v>196</v>
      </c>
      <c r="M27" t="s">
        <v>197</v>
      </c>
      <c r="N27" t="s">
        <v>198</v>
      </c>
      <c r="Q27" t="s">
        <v>199</v>
      </c>
      <c r="R27" t="s">
        <v>200</v>
      </c>
    </row>
    <row r="28" spans="1:22" x14ac:dyDescent="0.2">
      <c r="A28" t="s">
        <v>201</v>
      </c>
      <c r="B28" t="s">
        <v>202</v>
      </c>
      <c r="C28" t="str">
        <f>_xlfn.CONCAT(B28," (",A28,")")</f>
        <v>Enterobacter vonholyi (GCF_040834095.1)</v>
      </c>
      <c r="D28" t="s">
        <v>203</v>
      </c>
      <c r="H28" t="s">
        <v>204</v>
      </c>
      <c r="K28" t="s">
        <v>205</v>
      </c>
      <c r="M28" t="s">
        <v>166</v>
      </c>
      <c r="Q28" t="s">
        <v>206</v>
      </c>
    </row>
    <row r="29" spans="1:22" x14ac:dyDescent="0.2">
      <c r="A29" t="s">
        <v>207</v>
      </c>
      <c r="B29" t="s">
        <v>208</v>
      </c>
      <c r="C29" t="str">
        <f>_xlfn.CONCAT(B29," (",A29,")")</f>
        <v>Enterobacter adelaidei (GCF_041937165.1)</v>
      </c>
      <c r="D29" t="s">
        <v>209</v>
      </c>
      <c r="G29" t="s">
        <v>210</v>
      </c>
      <c r="H29" t="s">
        <v>211</v>
      </c>
      <c r="K29" t="s">
        <v>212</v>
      </c>
      <c r="M29" t="s">
        <v>213</v>
      </c>
      <c r="N29" t="s">
        <v>214</v>
      </c>
      <c r="Q29" t="s">
        <v>215</v>
      </c>
    </row>
    <row r="30" spans="1:22" x14ac:dyDescent="0.2">
      <c r="A30" t="s">
        <v>216</v>
      </c>
      <c r="B30" t="s">
        <v>217</v>
      </c>
      <c r="C30" t="str">
        <f>_xlfn.CONCAT(B30," (",A30,")")</f>
        <v>Enterobacter quasiroggenkampii (GCF_043972695.1)</v>
      </c>
      <c r="D30" t="s">
        <v>218</v>
      </c>
      <c r="H30" t="s">
        <v>219</v>
      </c>
      <c r="K30" t="s">
        <v>220</v>
      </c>
      <c r="L30" t="s">
        <v>37</v>
      </c>
      <c r="M30" t="s">
        <v>221</v>
      </c>
      <c r="N30" t="s">
        <v>222</v>
      </c>
      <c r="Q30" t="s">
        <v>192</v>
      </c>
      <c r="R30" t="s">
        <v>223</v>
      </c>
    </row>
    <row r="31" spans="1:22" x14ac:dyDescent="0.2">
      <c r="A31" t="s">
        <v>224</v>
      </c>
      <c r="B31" t="s">
        <v>225</v>
      </c>
      <c r="C31" t="str">
        <f>_xlfn.CONCAT(B31," (",A31,")")</f>
        <v>Enterobacter intestinihominis (GCF_048568405.1)</v>
      </c>
      <c r="D31" t="s">
        <v>226</v>
      </c>
      <c r="H31" t="s">
        <v>227</v>
      </c>
      <c r="K31" t="s">
        <v>220</v>
      </c>
      <c r="L31" t="s">
        <v>37</v>
      </c>
      <c r="M31" t="s">
        <v>228</v>
      </c>
      <c r="N31" t="s">
        <v>229</v>
      </c>
      <c r="Q31" t="s">
        <v>230</v>
      </c>
      <c r="R31" t="s">
        <v>231</v>
      </c>
    </row>
    <row r="32" spans="1:22" x14ac:dyDescent="0.2">
      <c r="A32" t="s">
        <v>232</v>
      </c>
      <c r="B32" t="s">
        <v>233</v>
      </c>
      <c r="C32" t="str">
        <f>_xlfn.CONCAT(B32," (",A32,")")</f>
        <v>Enterobacter bugandensis (GCF_900324475.1)</v>
      </c>
      <c r="G32" t="s">
        <v>234</v>
      </c>
      <c r="H32" t="s">
        <v>235</v>
      </c>
      <c r="K32" t="s">
        <v>70</v>
      </c>
      <c r="L32" t="s">
        <v>37</v>
      </c>
      <c r="M32" t="s">
        <v>236</v>
      </c>
      <c r="Q32" t="s">
        <v>237</v>
      </c>
      <c r="U32" t="s">
        <v>238</v>
      </c>
      <c r="V32" t="s">
        <v>239</v>
      </c>
    </row>
    <row r="33" spans="1:22" x14ac:dyDescent="0.2">
      <c r="A33" t="s">
        <v>240</v>
      </c>
      <c r="B33" t="s">
        <v>241</v>
      </c>
      <c r="C33" t="str">
        <f>_xlfn.CONCAT(B33," (",A33,")")</f>
        <v>Enterobacter cloacae (GCF_905331265.2)</v>
      </c>
      <c r="H33" t="s">
        <v>242</v>
      </c>
      <c r="L33" t="s">
        <v>37</v>
      </c>
      <c r="M33" t="s">
        <v>243</v>
      </c>
      <c r="Q33" t="s">
        <v>125</v>
      </c>
      <c r="U33" t="s">
        <v>244</v>
      </c>
      <c r="V33" t="s">
        <v>245</v>
      </c>
    </row>
    <row r="34" spans="1:22" ht="16" x14ac:dyDescent="0.2">
      <c r="A34" s="1" t="s">
        <v>246</v>
      </c>
      <c r="B34" t="s">
        <v>247</v>
      </c>
      <c r="C34" t="str">
        <f>_xlfn.CONCAT(B34," (",A34,")")</f>
        <v>Enterobacter kobei (GCF_023023125.1)</v>
      </c>
    </row>
    <row r="35" spans="1:22" x14ac:dyDescent="0.2">
      <c r="A35" s="2" t="s">
        <v>250</v>
      </c>
      <c r="B35" t="s">
        <v>249</v>
      </c>
      <c r="C35" t="str">
        <f>_xlfn.CONCAT(A35," ",B35,"")</f>
        <v>29FP.B (This Study)</v>
      </c>
    </row>
    <row r="36" spans="1:22" x14ac:dyDescent="0.2">
      <c r="A36" t="s">
        <v>251</v>
      </c>
      <c r="B36" t="s">
        <v>249</v>
      </c>
      <c r="C36" t="str">
        <f t="shared" ref="C36:C37" si="0">_xlfn.CONCAT(A36," ",B36,"")</f>
        <v>29FP.c (This Study)</v>
      </c>
    </row>
    <row r="37" spans="1:22" x14ac:dyDescent="0.2">
      <c r="A37" t="s">
        <v>248</v>
      </c>
      <c r="B37" t="s">
        <v>249</v>
      </c>
      <c r="C37" t="str">
        <f t="shared" si="0"/>
        <v>13FP.B (This Study)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astre</dc:creator>
  <dc:description/>
  <cp:lastModifiedBy>Faycal Khetim</cp:lastModifiedBy>
  <cp:revision>8</cp:revision>
  <dcterms:created xsi:type="dcterms:W3CDTF">2026-04-13T17:24:05Z</dcterms:created>
  <dcterms:modified xsi:type="dcterms:W3CDTF">2026-08-20T13:00:02Z</dcterms:modified>
  <dc:language>en-US</dc:language>
</cp:coreProperties>
</file>