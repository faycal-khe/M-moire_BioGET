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faycalkhetim/Desktop/STAGE/Annalyse Données/"/>
    </mc:Choice>
  </mc:AlternateContent>
  <xr:revisionPtr revIDLastSave="0" documentId="13_ncr:1_{B3205E1D-8011-3D44-B46E-0E301919956F}" xr6:coauthVersionLast="47" xr6:coauthVersionMax="47" xr10:uidLastSave="{00000000-0000-0000-0000-000000000000}"/>
  <bookViews>
    <workbookView xWindow="28800" yWindow="0" windowWidth="38400" windowHeight="21600" activeTab="2" xr2:uid="{7A284151-685A-A149-AD6F-FEE127BBF4F0}"/>
  </bookViews>
  <sheets>
    <sheet name="Resultat" sheetId="7" r:id="rId1"/>
    <sheet name="Elevage" sheetId="3" r:id="rId2"/>
    <sheet name="Sheet 1" sheetId="8" r:id="rId3"/>
    <sheet name="Annalyse Facteur de risque" sheetId="9" r:id="rId4"/>
    <sheet name="AAA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8" i="9" l="1"/>
  <c r="O17" i="9"/>
  <c r="H36" i="7"/>
  <c r="H37" i="7"/>
  <c r="AV5" i="9"/>
  <c r="AV6" i="9"/>
  <c r="AV7" i="9"/>
  <c r="AV8" i="9"/>
  <c r="AV9" i="9"/>
  <c r="AV10" i="9"/>
  <c r="AV11" i="9"/>
  <c r="AV12" i="9"/>
  <c r="AV13" i="9"/>
  <c r="AV14" i="9"/>
  <c r="AV15" i="9"/>
  <c r="AV16" i="9"/>
  <c r="AV17" i="9"/>
  <c r="AV19" i="9"/>
  <c r="AV20" i="9"/>
  <c r="AV21" i="9"/>
  <c r="AV22" i="9"/>
  <c r="AV23" i="9"/>
  <c r="AV24" i="9"/>
  <c r="AV25" i="9"/>
  <c r="AV26" i="9"/>
  <c r="AV27" i="9"/>
  <c r="AV28" i="9"/>
  <c r="AV29" i="9"/>
  <c r="AV30" i="9"/>
  <c r="AV31" i="9"/>
  <c r="AV32" i="9"/>
  <c r="AV33" i="9"/>
  <c r="AV38" i="9"/>
  <c r="AV39" i="9"/>
  <c r="AV40" i="9"/>
  <c r="AV41" i="9"/>
  <c r="AV42" i="9"/>
  <c r="AV43" i="9"/>
  <c r="AV44" i="9"/>
  <c r="AV45" i="9"/>
  <c r="AV46" i="9"/>
  <c r="AV47" i="9"/>
  <c r="AV48" i="9"/>
  <c r="AV49" i="9"/>
  <c r="AV50" i="9"/>
  <c r="AV51" i="9"/>
  <c r="AV52" i="9"/>
  <c r="AV53" i="9"/>
  <c r="AV54" i="9"/>
  <c r="AV55" i="9"/>
  <c r="AV56" i="9"/>
  <c r="AV57" i="9"/>
  <c r="AV58" i="9"/>
  <c r="AV60" i="9"/>
  <c r="AV61" i="9"/>
  <c r="AV62" i="9"/>
  <c r="AV63" i="9"/>
  <c r="AV64" i="9"/>
  <c r="AV65" i="9"/>
  <c r="AV66" i="9"/>
  <c r="AV67" i="9"/>
  <c r="AV68" i="9"/>
  <c r="AV69" i="9"/>
  <c r="AV70" i="9"/>
  <c r="AV71" i="9"/>
  <c r="AV72" i="9"/>
  <c r="AV73" i="9"/>
  <c r="AV74" i="9"/>
  <c r="AV75" i="9"/>
  <c r="AV76" i="9"/>
  <c r="AV77" i="9"/>
  <c r="AV78" i="9"/>
  <c r="AV79" i="9"/>
  <c r="AV80" i="9"/>
  <c r="AV81" i="9"/>
  <c r="AV82" i="9"/>
  <c r="AV83" i="9"/>
  <c r="AV84" i="9"/>
  <c r="AV85" i="9"/>
  <c r="AV86" i="9"/>
  <c r="AV87" i="9"/>
  <c r="AV88" i="9"/>
  <c r="AV89" i="9"/>
  <c r="AV90" i="9"/>
  <c r="AV91" i="9"/>
  <c r="AV92" i="9"/>
  <c r="AV4" i="9"/>
  <c r="AS26" i="9"/>
  <c r="AS27" i="9"/>
  <c r="AS28" i="9"/>
  <c r="AS29" i="9"/>
  <c r="AS30" i="9"/>
  <c r="AS31" i="9"/>
  <c r="AS32" i="9"/>
  <c r="AS33" i="9"/>
  <c r="AS38" i="9"/>
  <c r="AS39" i="9"/>
  <c r="AS40" i="9"/>
  <c r="AS41" i="9"/>
  <c r="AS42" i="9"/>
  <c r="AS43" i="9"/>
  <c r="AS44" i="9"/>
  <c r="AS45" i="9"/>
  <c r="AS46" i="9"/>
  <c r="AS47" i="9"/>
  <c r="AS48" i="9"/>
  <c r="AS49" i="9"/>
  <c r="AS50" i="9"/>
  <c r="AS51" i="9"/>
  <c r="AS52" i="9"/>
  <c r="AS53" i="9"/>
  <c r="AS54" i="9"/>
  <c r="AS55" i="9"/>
  <c r="AS56" i="9"/>
  <c r="AS57" i="9"/>
  <c r="AS58" i="9"/>
  <c r="AS59" i="9"/>
  <c r="AS60" i="9"/>
  <c r="AS61" i="9"/>
  <c r="AS62" i="9"/>
  <c r="AS63" i="9"/>
  <c r="AS64" i="9"/>
  <c r="AS65" i="9"/>
  <c r="AS66" i="9"/>
  <c r="AS67" i="9"/>
  <c r="AS68" i="9"/>
  <c r="AS69" i="9"/>
  <c r="AS70" i="9"/>
  <c r="AS71" i="9"/>
  <c r="AS72" i="9"/>
  <c r="AS73" i="9"/>
  <c r="AS74" i="9"/>
  <c r="AS75" i="9"/>
  <c r="AS76" i="9"/>
  <c r="AS77" i="9"/>
  <c r="AS78" i="9"/>
  <c r="AS79" i="9"/>
  <c r="AS80" i="9"/>
  <c r="AS81" i="9"/>
  <c r="AS82" i="9"/>
  <c r="AS83" i="9"/>
  <c r="AS84" i="9"/>
  <c r="AS85" i="9"/>
  <c r="AS86" i="9"/>
  <c r="AS87" i="9"/>
  <c r="AS88" i="9"/>
  <c r="AS89" i="9"/>
  <c r="AS90" i="9"/>
  <c r="AS91" i="9"/>
  <c r="AS92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9" i="9"/>
  <c r="AS20" i="9"/>
  <c r="AS21" i="9"/>
  <c r="AS22" i="9"/>
  <c r="AS23" i="9"/>
  <c r="AS24" i="9"/>
  <c r="AS25" i="9"/>
  <c r="AS4" i="9"/>
  <c r="BE5" i="9"/>
  <c r="BE6" i="9"/>
  <c r="BE7" i="9"/>
  <c r="BE8" i="9"/>
  <c r="BE9" i="9"/>
  <c r="BE10" i="9"/>
  <c r="BE11" i="9"/>
  <c r="BE12" i="9"/>
  <c r="BE13" i="9"/>
  <c r="BE14" i="9"/>
  <c r="BE15" i="9"/>
  <c r="BE16" i="9"/>
  <c r="BE17" i="9"/>
  <c r="BE19" i="9"/>
  <c r="BE20" i="9"/>
  <c r="BE21" i="9"/>
  <c r="BE22" i="9"/>
  <c r="BE23" i="9"/>
  <c r="BE24" i="9"/>
  <c r="BE25" i="9"/>
  <c r="BE26" i="9"/>
  <c r="BE27" i="9"/>
  <c r="BE28" i="9"/>
  <c r="BE29" i="9"/>
  <c r="BE30" i="9"/>
  <c r="BE31" i="9"/>
  <c r="BE32" i="9"/>
  <c r="BE33" i="9"/>
  <c r="BE38" i="9"/>
  <c r="BE39" i="9"/>
  <c r="BE40" i="9"/>
  <c r="BE41" i="9"/>
  <c r="BE42" i="9"/>
  <c r="BE43" i="9"/>
  <c r="BE44" i="9"/>
  <c r="BE45" i="9"/>
  <c r="BE46" i="9"/>
  <c r="BE47" i="9"/>
  <c r="BE48" i="9"/>
  <c r="BE49" i="9"/>
  <c r="BE50" i="9"/>
  <c r="BE51" i="9"/>
  <c r="BE52" i="9"/>
  <c r="BE53" i="9"/>
  <c r="BE54" i="9"/>
  <c r="BE55" i="9"/>
  <c r="BE56" i="9"/>
  <c r="BE57" i="9"/>
  <c r="BE58" i="9"/>
  <c r="BE59" i="9"/>
  <c r="BE60" i="9"/>
  <c r="BE61" i="9"/>
  <c r="BE62" i="9"/>
  <c r="BE63" i="9"/>
  <c r="BE64" i="9"/>
  <c r="BE65" i="9"/>
  <c r="BE66" i="9"/>
  <c r="BE67" i="9"/>
  <c r="BE68" i="9"/>
  <c r="BE69" i="9"/>
  <c r="BE70" i="9"/>
  <c r="BE71" i="9"/>
  <c r="BE72" i="9"/>
  <c r="BE73" i="9"/>
  <c r="BE74" i="9"/>
  <c r="BE75" i="9"/>
  <c r="BE76" i="9"/>
  <c r="BE77" i="9"/>
  <c r="BE78" i="9"/>
  <c r="BE79" i="9"/>
  <c r="BE80" i="9"/>
  <c r="BE81" i="9"/>
  <c r="BE82" i="9"/>
  <c r="BE83" i="9"/>
  <c r="BE84" i="9"/>
  <c r="BE85" i="9"/>
  <c r="BE86" i="9"/>
  <c r="BE87" i="9"/>
  <c r="BE88" i="9"/>
  <c r="BE89" i="9"/>
  <c r="BE90" i="9"/>
  <c r="BE91" i="9"/>
  <c r="BE92" i="9"/>
  <c r="BE4" i="9"/>
  <c r="BJ92" i="9"/>
  <c r="BJ91" i="9"/>
  <c r="BJ90" i="9"/>
  <c r="BJ89" i="9"/>
  <c r="BJ88" i="9"/>
  <c r="BJ87" i="9"/>
  <c r="BJ86" i="9"/>
  <c r="BJ85" i="9"/>
  <c r="BJ84" i="9"/>
  <c r="BJ83" i="9"/>
  <c r="BJ82" i="9"/>
  <c r="BJ81" i="9"/>
  <c r="BJ80" i="9"/>
  <c r="BJ79" i="9"/>
  <c r="BJ78" i="9"/>
  <c r="BJ77" i="9"/>
  <c r="BJ76" i="9"/>
  <c r="BJ75" i="9"/>
  <c r="BJ74" i="9"/>
  <c r="BJ73" i="9"/>
  <c r="BJ72" i="9"/>
  <c r="BJ71" i="9"/>
  <c r="BJ70" i="9"/>
  <c r="BJ69" i="9"/>
  <c r="BJ68" i="9"/>
  <c r="BJ67" i="9"/>
  <c r="BJ66" i="9"/>
  <c r="BJ65" i="9"/>
  <c r="BJ64" i="9"/>
  <c r="BJ63" i="9"/>
  <c r="BJ62" i="9"/>
  <c r="BJ61" i="9"/>
  <c r="BJ60" i="9"/>
  <c r="BJ59" i="9"/>
  <c r="BJ58" i="9"/>
  <c r="BJ57" i="9"/>
  <c r="BJ56" i="9"/>
  <c r="BJ55" i="9"/>
  <c r="BJ54" i="9"/>
  <c r="BJ53" i="9"/>
  <c r="BJ52" i="9"/>
  <c r="BJ51" i="9"/>
  <c r="BJ50" i="9"/>
  <c r="BJ49" i="9"/>
  <c r="BJ48" i="9"/>
  <c r="BJ47" i="9"/>
  <c r="BJ46" i="9"/>
  <c r="BJ45" i="9"/>
  <c r="BJ44" i="9"/>
  <c r="BJ43" i="9"/>
  <c r="BJ42" i="9"/>
  <c r="BJ41" i="9"/>
  <c r="BJ40" i="9"/>
  <c r="BJ39" i="9"/>
  <c r="BJ38" i="9"/>
  <c r="BJ33" i="9"/>
  <c r="BJ32" i="9"/>
  <c r="BJ31" i="9"/>
  <c r="BJ30" i="9"/>
  <c r="BJ29" i="9"/>
  <c r="BJ28" i="9"/>
  <c r="BJ27" i="9"/>
  <c r="BJ26" i="9"/>
  <c r="BJ25" i="9"/>
  <c r="BJ24" i="9"/>
  <c r="BJ23" i="9"/>
  <c r="BJ22" i="9"/>
  <c r="BJ21" i="9"/>
  <c r="BJ20" i="9"/>
  <c r="BJ19" i="9"/>
  <c r="BJ17" i="9"/>
  <c r="BJ16" i="9"/>
  <c r="BJ15" i="9"/>
  <c r="BJ14" i="9"/>
  <c r="BJ13" i="9"/>
  <c r="BJ12" i="9"/>
  <c r="BJ11" i="9"/>
  <c r="BJ10" i="9"/>
  <c r="BJ9" i="9"/>
  <c r="BJ8" i="9"/>
  <c r="BJ7" i="9"/>
  <c r="BJ6" i="9"/>
  <c r="BJ5" i="9"/>
  <c r="BJ4" i="9"/>
  <c r="BH92" i="9"/>
  <c r="BH91" i="9"/>
  <c r="BH90" i="9"/>
  <c r="BH89" i="9"/>
  <c r="BH88" i="9"/>
  <c r="BH87" i="9"/>
  <c r="BH86" i="9"/>
  <c r="BH85" i="9"/>
  <c r="BH84" i="9"/>
  <c r="BH83" i="9"/>
  <c r="BH82" i="9"/>
  <c r="BH81" i="9"/>
  <c r="BH80" i="9"/>
  <c r="BH79" i="9"/>
  <c r="BH78" i="9"/>
  <c r="BH77" i="9"/>
  <c r="BH76" i="9"/>
  <c r="BH75" i="9"/>
  <c r="BH74" i="9"/>
  <c r="BH73" i="9"/>
  <c r="BH72" i="9"/>
  <c r="BH71" i="9"/>
  <c r="BH70" i="9"/>
  <c r="BH69" i="9"/>
  <c r="BH68" i="9"/>
  <c r="BH67" i="9"/>
  <c r="BH66" i="9"/>
  <c r="BH65" i="9"/>
  <c r="BH64" i="9"/>
  <c r="BH63" i="9"/>
  <c r="BH62" i="9"/>
  <c r="BH61" i="9"/>
  <c r="BH60" i="9"/>
  <c r="BH59" i="9"/>
  <c r="BH58" i="9"/>
  <c r="BH57" i="9"/>
  <c r="BH56" i="9"/>
  <c r="BH55" i="9"/>
  <c r="BH54" i="9"/>
  <c r="BH53" i="9"/>
  <c r="BH52" i="9"/>
  <c r="BH51" i="9"/>
  <c r="BH50" i="9"/>
  <c r="BH49" i="9"/>
  <c r="BH48" i="9"/>
  <c r="BH47" i="9"/>
  <c r="BH46" i="9"/>
  <c r="BH45" i="9"/>
  <c r="BH44" i="9"/>
  <c r="BH43" i="9"/>
  <c r="BH42" i="9"/>
  <c r="BH41" i="9"/>
  <c r="BH40" i="9"/>
  <c r="BH39" i="9"/>
  <c r="BH38" i="9"/>
  <c r="BH33" i="9"/>
  <c r="BH32" i="9"/>
  <c r="BH31" i="9"/>
  <c r="BH30" i="9"/>
  <c r="BH29" i="9"/>
  <c r="BH28" i="9"/>
  <c r="BH27" i="9"/>
  <c r="BH26" i="9"/>
  <c r="BH25" i="9"/>
  <c r="BH24" i="9"/>
  <c r="BH23" i="9"/>
  <c r="BH22" i="9"/>
  <c r="BH21" i="9"/>
  <c r="BH20" i="9"/>
  <c r="BH19" i="9"/>
  <c r="BH17" i="9"/>
  <c r="BH16" i="9"/>
  <c r="BH15" i="9"/>
  <c r="BH14" i="9"/>
  <c r="BH13" i="9"/>
  <c r="BH12" i="9"/>
  <c r="BH11" i="9"/>
  <c r="BH10" i="9"/>
  <c r="BH9" i="9"/>
  <c r="BH8" i="9"/>
  <c r="BH7" i="9"/>
  <c r="BH6" i="9"/>
  <c r="BH5" i="9"/>
  <c r="BH4" i="9"/>
  <c r="BC92" i="9"/>
  <c r="BC91" i="9"/>
  <c r="BC90" i="9"/>
  <c r="BC89" i="9"/>
  <c r="BC88" i="9"/>
  <c r="BC87" i="9"/>
  <c r="BC86" i="9"/>
  <c r="BC85" i="9"/>
  <c r="BC84" i="9"/>
  <c r="BC83" i="9"/>
  <c r="BC82" i="9"/>
  <c r="BC81" i="9"/>
  <c r="BC80" i="9"/>
  <c r="BC79" i="9"/>
  <c r="BC78" i="9"/>
  <c r="BC77" i="9"/>
  <c r="BC76" i="9"/>
  <c r="BC75" i="9"/>
  <c r="BC74" i="9"/>
  <c r="BC73" i="9"/>
  <c r="BC72" i="9"/>
  <c r="BC71" i="9"/>
  <c r="BC70" i="9"/>
  <c r="BC69" i="9"/>
  <c r="BC68" i="9"/>
  <c r="BC67" i="9"/>
  <c r="BC66" i="9"/>
  <c r="BC65" i="9"/>
  <c r="BC64" i="9"/>
  <c r="BC63" i="9"/>
  <c r="BC62" i="9"/>
  <c r="BC61" i="9"/>
  <c r="BC60" i="9"/>
  <c r="BC59" i="9"/>
  <c r="BC58" i="9"/>
  <c r="BC57" i="9"/>
  <c r="BC56" i="9"/>
  <c r="BC55" i="9"/>
  <c r="BC54" i="9"/>
  <c r="BC53" i="9"/>
  <c r="BC52" i="9"/>
  <c r="BC51" i="9"/>
  <c r="BC50" i="9"/>
  <c r="BC49" i="9"/>
  <c r="BC48" i="9"/>
  <c r="BC47" i="9"/>
  <c r="BC46" i="9"/>
  <c r="BC45" i="9"/>
  <c r="BC44" i="9"/>
  <c r="BC43" i="9"/>
  <c r="BC42" i="9"/>
  <c r="BC41" i="9"/>
  <c r="BC40" i="9"/>
  <c r="BC39" i="9"/>
  <c r="BC38" i="9"/>
  <c r="BC33" i="9"/>
  <c r="BC32" i="9"/>
  <c r="BC31" i="9"/>
  <c r="BC30" i="9"/>
  <c r="BC29" i="9"/>
  <c r="BC28" i="9"/>
  <c r="BC27" i="9"/>
  <c r="BC26" i="9"/>
  <c r="BC25" i="9"/>
  <c r="BC24" i="9"/>
  <c r="BC23" i="9"/>
  <c r="BC22" i="9"/>
  <c r="BC21" i="9"/>
  <c r="BC20" i="9"/>
  <c r="BC19" i="9"/>
  <c r="BC17" i="9"/>
  <c r="BC16" i="9"/>
  <c r="BC15" i="9"/>
  <c r="BC14" i="9"/>
  <c r="BC13" i="9"/>
  <c r="BC12" i="9"/>
  <c r="BC11" i="9"/>
  <c r="BC10" i="9"/>
  <c r="BC9" i="9"/>
  <c r="BC8" i="9"/>
  <c r="BC7" i="9"/>
  <c r="BC6" i="9"/>
  <c r="BC5" i="9"/>
  <c r="BC4" i="9"/>
  <c r="BA92" i="9"/>
  <c r="AY92" i="9"/>
  <c r="BA91" i="9"/>
  <c r="AY91" i="9"/>
  <c r="BA90" i="9"/>
  <c r="AY90" i="9"/>
  <c r="BA89" i="9"/>
  <c r="AY89" i="9"/>
  <c r="BA88" i="9"/>
  <c r="AY88" i="9"/>
  <c r="BA87" i="9"/>
  <c r="AY87" i="9"/>
  <c r="BA86" i="9"/>
  <c r="AY86" i="9"/>
  <c r="BA85" i="9"/>
  <c r="AY85" i="9"/>
  <c r="BA84" i="9"/>
  <c r="AY84" i="9"/>
  <c r="BA83" i="9"/>
  <c r="AY83" i="9"/>
  <c r="BA82" i="9"/>
  <c r="AY82" i="9"/>
  <c r="BA81" i="9"/>
  <c r="AY81" i="9"/>
  <c r="BA80" i="9"/>
  <c r="AY80" i="9"/>
  <c r="BA79" i="9"/>
  <c r="AY79" i="9"/>
  <c r="BA78" i="9"/>
  <c r="AY78" i="9"/>
  <c r="BA77" i="9"/>
  <c r="AY77" i="9"/>
  <c r="BA76" i="9"/>
  <c r="AY76" i="9"/>
  <c r="BA75" i="9"/>
  <c r="AY75" i="9"/>
  <c r="AY74" i="9"/>
  <c r="BA73" i="9"/>
  <c r="AY73" i="9"/>
  <c r="BA72" i="9"/>
  <c r="AY72" i="9"/>
  <c r="BA71" i="9"/>
  <c r="AY71" i="9"/>
  <c r="BA70" i="9"/>
  <c r="AY70" i="9"/>
  <c r="BA69" i="9"/>
  <c r="AY69" i="9"/>
  <c r="BA68" i="9"/>
  <c r="AY68" i="9"/>
  <c r="BA67" i="9"/>
  <c r="AY67" i="9"/>
  <c r="BA66" i="9"/>
  <c r="AY66" i="9"/>
  <c r="BA65" i="9"/>
  <c r="AY65" i="9"/>
  <c r="BA64" i="9"/>
  <c r="AY64" i="9"/>
  <c r="BA63" i="9"/>
  <c r="AY63" i="9"/>
  <c r="BA62" i="9"/>
  <c r="AY62" i="9"/>
  <c r="BA61" i="9"/>
  <c r="AY61" i="9"/>
  <c r="BA60" i="9"/>
  <c r="AY60" i="9"/>
  <c r="BA59" i="9"/>
  <c r="AY59" i="9"/>
  <c r="BA58" i="9"/>
  <c r="AY58" i="9"/>
  <c r="BA57" i="9"/>
  <c r="AY57" i="9"/>
  <c r="BA56" i="9"/>
  <c r="AY56" i="9"/>
  <c r="BA55" i="9"/>
  <c r="AY55" i="9"/>
  <c r="BA54" i="9"/>
  <c r="AY54" i="9"/>
  <c r="BA53" i="9"/>
  <c r="AY53" i="9"/>
  <c r="BA52" i="9"/>
  <c r="AY52" i="9"/>
  <c r="BA51" i="9"/>
  <c r="AY51" i="9"/>
  <c r="BA50" i="9"/>
  <c r="AY50" i="9"/>
  <c r="BA49" i="9"/>
  <c r="AY49" i="9"/>
  <c r="BA48" i="9"/>
  <c r="AY48" i="9"/>
  <c r="BA47" i="9"/>
  <c r="AY47" i="9"/>
  <c r="BA46" i="9"/>
  <c r="AY46" i="9"/>
  <c r="BA45" i="9"/>
  <c r="AY45" i="9"/>
  <c r="BA44" i="9"/>
  <c r="AY44" i="9"/>
  <c r="BA43" i="9"/>
  <c r="AY43" i="9"/>
  <c r="BA42" i="9"/>
  <c r="AY42" i="9"/>
  <c r="BA41" i="9"/>
  <c r="AY41" i="9"/>
  <c r="BA40" i="9"/>
  <c r="AY40" i="9"/>
  <c r="BA39" i="9"/>
  <c r="AY39" i="9"/>
  <c r="BA38" i="9"/>
  <c r="AY38" i="9"/>
  <c r="BA33" i="9"/>
  <c r="AY33" i="9"/>
  <c r="BA32" i="9"/>
  <c r="AY32" i="9"/>
  <c r="BA31" i="9"/>
  <c r="AY31" i="9"/>
  <c r="BA30" i="9"/>
  <c r="AY30" i="9"/>
  <c r="BA29" i="9"/>
  <c r="AY29" i="9"/>
  <c r="BA28" i="9"/>
  <c r="BA27" i="9"/>
  <c r="AY27" i="9"/>
  <c r="BA26" i="9"/>
  <c r="AY26" i="9"/>
  <c r="BA25" i="9"/>
  <c r="AY25" i="9"/>
  <c r="BA24" i="9"/>
  <c r="AY24" i="9"/>
  <c r="BA23" i="9"/>
  <c r="AY23" i="9"/>
  <c r="BA22" i="9"/>
  <c r="AY22" i="9"/>
  <c r="BA21" i="9"/>
  <c r="AY21" i="9"/>
  <c r="BA20" i="9"/>
  <c r="AY20" i="9"/>
  <c r="BA19" i="9"/>
  <c r="AY19" i="9"/>
  <c r="BA17" i="9"/>
  <c r="AY17" i="9"/>
  <c r="BA16" i="9"/>
  <c r="AY16" i="9"/>
  <c r="BA15" i="9"/>
  <c r="AY15" i="9"/>
  <c r="BA14" i="9"/>
  <c r="AY14" i="9"/>
  <c r="BA13" i="9"/>
  <c r="AY13" i="9"/>
  <c r="BA12" i="9"/>
  <c r="AY12" i="9"/>
  <c r="BA11" i="9"/>
  <c r="AY11" i="9"/>
  <c r="BA10" i="9"/>
  <c r="AY10" i="9"/>
  <c r="BA9" i="9"/>
  <c r="AY9" i="9"/>
  <c r="BA8" i="9"/>
  <c r="AY8" i="9"/>
  <c r="BA7" i="9"/>
  <c r="AY7" i="9"/>
  <c r="BA5" i="9"/>
  <c r="BA6" i="9"/>
  <c r="AY5" i="9"/>
  <c r="AY6" i="9"/>
  <c r="BA4" i="9"/>
  <c r="AY4" i="9"/>
  <c r="O5" i="9"/>
  <c r="O6" i="9"/>
  <c r="O7" i="9"/>
  <c r="O8" i="9"/>
  <c r="O9" i="9"/>
  <c r="O10" i="9"/>
  <c r="O11" i="9"/>
  <c r="O12" i="9"/>
  <c r="O13" i="9"/>
  <c r="O14" i="9"/>
  <c r="O15" i="9"/>
  <c r="O16" i="9"/>
  <c r="O19" i="9"/>
  <c r="O20" i="9"/>
  <c r="O21" i="9"/>
  <c r="O23" i="9"/>
  <c r="O24" i="9"/>
  <c r="O25" i="9"/>
  <c r="O26" i="9"/>
  <c r="O27" i="9"/>
  <c r="O28" i="9"/>
  <c r="O29" i="9"/>
  <c r="O30" i="9"/>
  <c r="O32" i="9"/>
  <c r="O33" i="9"/>
  <c r="O38" i="9"/>
  <c r="O39" i="9"/>
  <c r="O40" i="9"/>
  <c r="O41" i="9"/>
  <c r="O42" i="9"/>
  <c r="O43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4" i="9"/>
  <c r="C82" i="9"/>
  <c r="C83" i="9"/>
  <c r="C84" i="9"/>
  <c r="C85" i="9"/>
  <c r="C86" i="9"/>
  <c r="C87" i="9"/>
  <c r="C88" i="9"/>
  <c r="C89" i="9"/>
  <c r="C90" i="9"/>
  <c r="C91" i="9"/>
  <c r="C92" i="9"/>
  <c r="C81" i="9"/>
  <c r="C80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4" i="9"/>
  <c r="B65" i="9"/>
  <c r="B72" i="9"/>
  <c r="E56" i="3" a="1"/>
  <c r="E56" i="3" s="1"/>
  <c r="AE90" i="3"/>
  <c r="N90" i="3" a="1"/>
  <c r="N90" i="3" s="1"/>
  <c r="M90" i="3" a="1"/>
  <c r="M90" i="3" s="1"/>
  <c r="L90" i="3" a="1"/>
  <c r="L90" i="3" s="1"/>
  <c r="B90" i="9" s="1"/>
  <c r="J90" i="3" a="1"/>
  <c r="J90" i="3" s="1"/>
  <c r="F90" i="3" a="1"/>
  <c r="F90" i="3" s="1"/>
  <c r="E90" i="3" a="1"/>
  <c r="E90" i="3" s="1"/>
  <c r="C90" i="3"/>
  <c r="H227" i="7"/>
  <c r="H2" i="7"/>
  <c r="B211" i="7"/>
  <c r="B212" i="7"/>
  <c r="B213" i="7"/>
  <c r="B214" i="7"/>
  <c r="B215" i="7"/>
  <c r="B216" i="7"/>
  <c r="F216" i="7" s="1"/>
  <c r="B217" i="7"/>
  <c r="B218" i="7"/>
  <c r="E218" i="7" s="1"/>
  <c r="B219" i="7"/>
  <c r="B220" i="7"/>
  <c r="B221" i="7"/>
  <c r="B222" i="7"/>
  <c r="B199" i="7"/>
  <c r="B200" i="7"/>
  <c r="B201" i="7"/>
  <c r="F201" i="7" s="1"/>
  <c r="B202" i="7"/>
  <c r="B203" i="7"/>
  <c r="B204" i="7"/>
  <c r="F204" i="7" s="1"/>
  <c r="B205" i="7"/>
  <c r="B206" i="7"/>
  <c r="B207" i="7"/>
  <c r="B208" i="7"/>
  <c r="B209" i="7"/>
  <c r="F209" i="7" s="1"/>
  <c r="B210" i="7"/>
  <c r="B198" i="7"/>
  <c r="B197" i="7"/>
  <c r="B196" i="7"/>
  <c r="B195" i="7"/>
  <c r="B194" i="7"/>
  <c r="B193" i="7"/>
  <c r="B192" i="7"/>
  <c r="B191" i="7"/>
  <c r="F191" i="7" s="1"/>
  <c r="B190" i="7"/>
  <c r="B189" i="7"/>
  <c r="B188" i="7"/>
  <c r="B187" i="7"/>
  <c r="E187" i="7" s="1"/>
  <c r="B186" i="7"/>
  <c r="B185" i="7"/>
  <c r="B184" i="7"/>
  <c r="F188" i="7"/>
  <c r="E195" i="7"/>
  <c r="E196" i="7"/>
  <c r="B183" i="7"/>
  <c r="F183" i="7" s="1"/>
  <c r="B182" i="7"/>
  <c r="B181" i="7"/>
  <c r="H180" i="7"/>
  <c r="F180" i="7"/>
  <c r="H179" i="7"/>
  <c r="F179" i="7"/>
  <c r="E179" i="7"/>
  <c r="H178" i="7"/>
  <c r="F178" i="7"/>
  <c r="H124" i="7"/>
  <c r="B124" i="7"/>
  <c r="F124" i="7" s="1"/>
  <c r="B138" i="7"/>
  <c r="E138" i="7" s="1"/>
  <c r="B137" i="7"/>
  <c r="E137" i="7" s="1"/>
  <c r="B136" i="7"/>
  <c r="F136" i="7" s="1"/>
  <c r="B135" i="7"/>
  <c r="B134" i="7"/>
  <c r="F134" i="7" s="1"/>
  <c r="B133" i="7"/>
  <c r="B130" i="7"/>
  <c r="E130" i="7" s="1"/>
  <c r="B86" i="7"/>
  <c r="E86" i="7" s="1"/>
  <c r="B85" i="7"/>
  <c r="E85" i="7" s="1"/>
  <c r="B84" i="7"/>
  <c r="F84" i="7" s="1"/>
  <c r="H80" i="7"/>
  <c r="B80" i="7"/>
  <c r="F80" i="7" s="1"/>
  <c r="H62" i="7"/>
  <c r="H63" i="7"/>
  <c r="H64" i="7"/>
  <c r="F64" i="7"/>
  <c r="F63" i="7"/>
  <c r="F62" i="7"/>
  <c r="E64" i="7"/>
  <c r="E63" i="7"/>
  <c r="E62" i="7"/>
  <c r="B68" i="7"/>
  <c r="F68" i="7" s="1"/>
  <c r="B69" i="7"/>
  <c r="F69" i="7" s="1"/>
  <c r="B70" i="7"/>
  <c r="F70" i="7" s="1"/>
  <c r="B71" i="7"/>
  <c r="E71" i="7" s="1"/>
  <c r="B72" i="7"/>
  <c r="B73" i="7"/>
  <c r="E73" i="7" s="1"/>
  <c r="B67" i="7"/>
  <c r="B66" i="7"/>
  <c r="B74" i="7"/>
  <c r="E74" i="7" s="1"/>
  <c r="B75" i="7"/>
  <c r="F75" i="7" s="1"/>
  <c r="B76" i="7"/>
  <c r="F76" i="7" s="1"/>
  <c r="B77" i="7"/>
  <c r="B78" i="7"/>
  <c r="B79" i="7"/>
  <c r="B81" i="7"/>
  <c r="B82" i="7"/>
  <c r="B87" i="7"/>
  <c r="E87" i="7" s="1"/>
  <c r="B88" i="7"/>
  <c r="F88" i="7" s="1"/>
  <c r="B89" i="7"/>
  <c r="F89" i="7" s="1"/>
  <c r="B90" i="7"/>
  <c r="E90" i="7" s="1"/>
  <c r="B91" i="7"/>
  <c r="B92" i="7"/>
  <c r="B93" i="7"/>
  <c r="B94" i="7"/>
  <c r="B95" i="7"/>
  <c r="F95" i="7" s="1"/>
  <c r="B96" i="7"/>
  <c r="F96" i="7" s="1"/>
  <c r="B97" i="7"/>
  <c r="B98" i="7"/>
  <c r="F98" i="7" s="1"/>
  <c r="B99" i="7"/>
  <c r="B100" i="7"/>
  <c r="B101" i="7"/>
  <c r="B102" i="7"/>
  <c r="E102" i="7" s="1"/>
  <c r="B103" i="7"/>
  <c r="E103" i="7" s="1"/>
  <c r="B104" i="7"/>
  <c r="F104" i="7" s="1"/>
  <c r="B105" i="7"/>
  <c r="F105" i="7" s="1"/>
  <c r="B106" i="7"/>
  <c r="F106" i="7" s="1"/>
  <c r="B107" i="7"/>
  <c r="B108" i="7"/>
  <c r="B109" i="7"/>
  <c r="E109" i="7" s="1"/>
  <c r="B110" i="7"/>
  <c r="E110" i="7" s="1"/>
  <c r="B111" i="7"/>
  <c r="F111" i="7" s="1"/>
  <c r="B112" i="7"/>
  <c r="B113" i="7"/>
  <c r="F113" i="7" s="1"/>
  <c r="B114" i="7"/>
  <c r="E114" i="7" s="1"/>
  <c r="B115" i="7"/>
  <c r="B116" i="7"/>
  <c r="B117" i="7"/>
  <c r="E117" i="7" s="1"/>
  <c r="B118" i="7"/>
  <c r="E118" i="7" s="1"/>
  <c r="B119" i="7"/>
  <c r="E119" i="7" s="1"/>
  <c r="B120" i="7"/>
  <c r="F120" i="7" s="1"/>
  <c r="B121" i="7"/>
  <c r="F121" i="7" s="1"/>
  <c r="B122" i="7"/>
  <c r="E122" i="7" s="1"/>
  <c r="B123" i="7"/>
  <c r="B125" i="7"/>
  <c r="B126" i="7"/>
  <c r="E126" i="7" s="1"/>
  <c r="B127" i="7"/>
  <c r="B128" i="7"/>
  <c r="F128" i="7" s="1"/>
  <c r="B129" i="7"/>
  <c r="F129" i="7" s="1"/>
  <c r="B131" i="7"/>
  <c r="E131" i="7" s="1"/>
  <c r="B132" i="7"/>
  <c r="F135" i="7"/>
  <c r="B139" i="7"/>
  <c r="E139" i="7" s="1"/>
  <c r="B140" i="7"/>
  <c r="B141" i="7"/>
  <c r="B142" i="7"/>
  <c r="F142" i="7" s="1"/>
  <c r="B143" i="7"/>
  <c r="F143" i="7" s="1"/>
  <c r="B144" i="7"/>
  <c r="F144" i="7" s="1"/>
  <c r="B145" i="7"/>
  <c r="E145" i="7" s="1"/>
  <c r="B146" i="7"/>
  <c r="E146" i="7" s="1"/>
  <c r="B147" i="7"/>
  <c r="E147" i="7" s="1"/>
  <c r="B148" i="7"/>
  <c r="B149" i="7"/>
  <c r="F149" i="7" s="1"/>
  <c r="B150" i="7"/>
  <c r="B151" i="7"/>
  <c r="F151" i="7" s="1"/>
  <c r="B152" i="7"/>
  <c r="F152" i="7" s="1"/>
  <c r="B153" i="7"/>
  <c r="E153" i="7" s="1"/>
  <c r="B154" i="7"/>
  <c r="B155" i="7"/>
  <c r="B156" i="7"/>
  <c r="B157" i="7"/>
  <c r="F157" i="7" s="1"/>
  <c r="B158" i="7"/>
  <c r="F158" i="7" s="1"/>
  <c r="B159" i="7"/>
  <c r="F159" i="7" s="1"/>
  <c r="B160" i="7"/>
  <c r="F160" i="7" s="1"/>
  <c r="B161" i="7"/>
  <c r="E161" i="7" s="1"/>
  <c r="B162" i="7"/>
  <c r="B163" i="7"/>
  <c r="B164" i="7"/>
  <c r="B165" i="7"/>
  <c r="F165" i="7" s="1"/>
  <c r="F164" i="7"/>
  <c r="B65" i="7"/>
  <c r="E65" i="7" s="1"/>
  <c r="H4" i="7"/>
  <c r="H3" i="7"/>
  <c r="H5" i="7"/>
  <c r="H6" i="7"/>
  <c r="E224" i="7"/>
  <c r="E225" i="7"/>
  <c r="E227" i="7"/>
  <c r="E228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23" i="7"/>
  <c r="H230" i="7"/>
  <c r="F230" i="7"/>
  <c r="B302" i="7"/>
  <c r="B301" i="7"/>
  <c r="B300" i="7"/>
  <c r="B299" i="7"/>
  <c r="B298" i="7"/>
  <c r="B297" i="7"/>
  <c r="B296" i="7"/>
  <c r="B295" i="7"/>
  <c r="B294" i="7"/>
  <c r="B293" i="7"/>
  <c r="B292" i="7"/>
  <c r="B291" i="7"/>
  <c r="B290" i="7"/>
  <c r="B289" i="7"/>
  <c r="H250" i="7"/>
  <c r="F250" i="7"/>
  <c r="H249" i="7"/>
  <c r="F249" i="7"/>
  <c r="H248" i="7"/>
  <c r="F248" i="7"/>
  <c r="H247" i="7"/>
  <c r="F247" i="7"/>
  <c r="H246" i="7"/>
  <c r="F246" i="7"/>
  <c r="H245" i="7"/>
  <c r="F245" i="7"/>
  <c r="H244" i="7"/>
  <c r="F244" i="7"/>
  <c r="H243" i="7"/>
  <c r="F243" i="7"/>
  <c r="H242" i="7"/>
  <c r="F242" i="7"/>
  <c r="H241" i="7"/>
  <c r="F241" i="7"/>
  <c r="H240" i="7"/>
  <c r="F240" i="7"/>
  <c r="H239" i="7"/>
  <c r="F239" i="7"/>
  <c r="H238" i="7"/>
  <c r="F238" i="7"/>
  <c r="H237" i="7"/>
  <c r="F237" i="7"/>
  <c r="H236" i="7"/>
  <c r="F236" i="7"/>
  <c r="H235" i="7"/>
  <c r="F235" i="7"/>
  <c r="H234" i="7"/>
  <c r="F234" i="7"/>
  <c r="H233" i="7"/>
  <c r="F233" i="7"/>
  <c r="H232" i="7"/>
  <c r="F232" i="7"/>
  <c r="H231" i="7"/>
  <c r="F231" i="7"/>
  <c r="H229" i="7"/>
  <c r="B229" i="7"/>
  <c r="E229" i="7" s="1"/>
  <c r="H228" i="7"/>
  <c r="F228" i="7"/>
  <c r="F227" i="7"/>
  <c r="H226" i="7"/>
  <c r="B226" i="7"/>
  <c r="E226" i="7" s="1"/>
  <c r="H225" i="7"/>
  <c r="F225" i="7"/>
  <c r="H224" i="7"/>
  <c r="F224" i="7"/>
  <c r="H223" i="7"/>
  <c r="F223" i="7"/>
  <c r="H222" i="7"/>
  <c r="H221" i="7"/>
  <c r="H220" i="7"/>
  <c r="E220" i="7"/>
  <c r="H219" i="7"/>
  <c r="F219" i="7"/>
  <c r="H218" i="7"/>
  <c r="H217" i="7"/>
  <c r="F217" i="7"/>
  <c r="H216" i="7"/>
  <c r="H215" i="7"/>
  <c r="F215" i="7"/>
  <c r="H214" i="7"/>
  <c r="H213" i="7"/>
  <c r="H212" i="7"/>
  <c r="E212" i="7"/>
  <c r="H211" i="7"/>
  <c r="E211" i="7"/>
  <c r="H210" i="7"/>
  <c r="E210" i="7"/>
  <c r="H209" i="7"/>
  <c r="H208" i="7"/>
  <c r="F208" i="7"/>
  <c r="H207" i="7"/>
  <c r="F207" i="7"/>
  <c r="H206" i="7"/>
  <c r="H205" i="7"/>
  <c r="H204" i="7"/>
  <c r="H203" i="7"/>
  <c r="F203" i="7"/>
  <c r="H202" i="7"/>
  <c r="F202" i="7"/>
  <c r="H201" i="7"/>
  <c r="H200" i="7"/>
  <c r="F200" i="7"/>
  <c r="H199" i="7"/>
  <c r="F199" i="7"/>
  <c r="H198" i="7"/>
  <c r="H197" i="7"/>
  <c r="H196" i="7"/>
  <c r="H195" i="7"/>
  <c r="H194" i="7"/>
  <c r="E194" i="7"/>
  <c r="H193" i="7"/>
  <c r="F193" i="7"/>
  <c r="H192" i="7"/>
  <c r="F192" i="7"/>
  <c r="H191" i="7"/>
  <c r="H190" i="7"/>
  <c r="H189" i="7"/>
  <c r="H188" i="7"/>
  <c r="H187" i="7"/>
  <c r="H186" i="7"/>
  <c r="E186" i="7"/>
  <c r="H185" i="7"/>
  <c r="F185" i="7"/>
  <c r="H184" i="7"/>
  <c r="F184" i="7"/>
  <c r="H183" i="7"/>
  <c r="H182" i="7"/>
  <c r="H181" i="7"/>
  <c r="H177" i="7"/>
  <c r="B177" i="7"/>
  <c r="E177" i="7" s="1"/>
  <c r="H176" i="7"/>
  <c r="B176" i="7"/>
  <c r="F176" i="7" s="1"/>
  <c r="H175" i="7"/>
  <c r="B175" i="7"/>
  <c r="F175" i="7" s="1"/>
  <c r="H174" i="7"/>
  <c r="B174" i="7"/>
  <c r="F174" i="7" s="1"/>
  <c r="H173" i="7"/>
  <c r="B173" i="7"/>
  <c r="F173" i="7" s="1"/>
  <c r="H172" i="7"/>
  <c r="B172" i="7"/>
  <c r="F172" i="7" s="1"/>
  <c r="H171" i="7"/>
  <c r="B171" i="7"/>
  <c r="H170" i="7"/>
  <c r="B170" i="7"/>
  <c r="H169" i="7"/>
  <c r="B169" i="7"/>
  <c r="F169" i="7" s="1"/>
  <c r="H168" i="7"/>
  <c r="B168" i="7"/>
  <c r="E168" i="7" s="1"/>
  <c r="H167" i="7"/>
  <c r="B167" i="7"/>
  <c r="E167" i="7" s="1"/>
  <c r="H166" i="7"/>
  <c r="B166" i="7"/>
  <c r="F166" i="7" s="1"/>
  <c r="H165" i="7"/>
  <c r="H164" i="7"/>
  <c r="H163" i="7"/>
  <c r="H162" i="7"/>
  <c r="H161" i="7"/>
  <c r="H160" i="7"/>
  <c r="H159" i="7"/>
  <c r="H158" i="7"/>
  <c r="H157" i="7"/>
  <c r="H156" i="7"/>
  <c r="H155" i="7"/>
  <c r="H154" i="7"/>
  <c r="E154" i="7"/>
  <c r="H153" i="7"/>
  <c r="H152" i="7"/>
  <c r="H151" i="7"/>
  <c r="H150" i="7"/>
  <c r="H149" i="7"/>
  <c r="H148" i="7"/>
  <c r="F148" i="7"/>
  <c r="H147" i="7"/>
  <c r="H146" i="7"/>
  <c r="H145" i="7"/>
  <c r="H144" i="7"/>
  <c r="H143" i="7"/>
  <c r="H142" i="7"/>
  <c r="H141" i="7"/>
  <c r="F141" i="7"/>
  <c r="H140" i="7"/>
  <c r="E140" i="7"/>
  <c r="H139" i="7"/>
  <c r="H138" i="7"/>
  <c r="H137" i="7"/>
  <c r="H136" i="7"/>
  <c r="H135" i="7"/>
  <c r="H134" i="7"/>
  <c r="H133" i="7"/>
  <c r="H132" i="7"/>
  <c r="E132" i="7"/>
  <c r="H131" i="7"/>
  <c r="H130" i="7"/>
  <c r="H129" i="7"/>
  <c r="H128" i="7"/>
  <c r="H127" i="7"/>
  <c r="E127" i="7"/>
  <c r="H126" i="7"/>
  <c r="H125" i="7"/>
  <c r="F125" i="7"/>
  <c r="H123" i="7"/>
  <c r="F123" i="7"/>
  <c r="H122" i="7"/>
  <c r="H121" i="7"/>
  <c r="H120" i="7"/>
  <c r="H119" i="7"/>
  <c r="H118" i="7"/>
  <c r="H117" i="7"/>
  <c r="H116" i="7"/>
  <c r="E116" i="7"/>
  <c r="H115" i="7"/>
  <c r="F115" i="7"/>
  <c r="H114" i="7"/>
  <c r="H113" i="7"/>
  <c r="H112" i="7"/>
  <c r="H111" i="7"/>
  <c r="H110" i="7"/>
  <c r="H109" i="7"/>
  <c r="H108" i="7"/>
  <c r="F108" i="7"/>
  <c r="H107" i="7"/>
  <c r="E107" i="7"/>
  <c r="H106" i="7"/>
  <c r="H105" i="7"/>
  <c r="H104" i="7"/>
  <c r="H103" i="7"/>
  <c r="H102" i="7"/>
  <c r="H101" i="7"/>
  <c r="E101" i="7"/>
  <c r="H100" i="7"/>
  <c r="E100" i="7"/>
  <c r="H99" i="7"/>
  <c r="F99" i="7"/>
  <c r="H98" i="7"/>
  <c r="H97" i="7"/>
  <c r="H96" i="7"/>
  <c r="H95" i="7"/>
  <c r="H94" i="7"/>
  <c r="H93" i="7"/>
  <c r="E93" i="7"/>
  <c r="H92" i="7"/>
  <c r="H91" i="7"/>
  <c r="F91" i="7"/>
  <c r="H90" i="7"/>
  <c r="H89" i="7"/>
  <c r="H88" i="7"/>
  <c r="H87" i="7"/>
  <c r="H86" i="7"/>
  <c r="H85" i="7"/>
  <c r="H84" i="7"/>
  <c r="H83" i="7"/>
  <c r="F83" i="7"/>
  <c r="H82" i="7"/>
  <c r="H81" i="7"/>
  <c r="E81" i="7"/>
  <c r="H79" i="7"/>
  <c r="H78" i="7"/>
  <c r="F78" i="7"/>
  <c r="H77" i="7"/>
  <c r="F77" i="7"/>
  <c r="H76" i="7"/>
  <c r="H75" i="7"/>
  <c r="H74" i="7"/>
  <c r="H73" i="7"/>
  <c r="H72" i="7"/>
  <c r="E72" i="7"/>
  <c r="H71" i="7"/>
  <c r="H70" i="7"/>
  <c r="H69" i="7"/>
  <c r="H68" i="7"/>
  <c r="H67" i="7"/>
  <c r="H66" i="7"/>
  <c r="H65" i="7"/>
  <c r="H61" i="7"/>
  <c r="B61" i="7"/>
  <c r="H60" i="7"/>
  <c r="B60" i="7"/>
  <c r="F60" i="7" s="1"/>
  <c r="H59" i="7"/>
  <c r="B59" i="7"/>
  <c r="E59" i="7" s="1"/>
  <c r="H58" i="7"/>
  <c r="B58" i="7"/>
  <c r="F58" i="7" s="1"/>
  <c r="H57" i="7"/>
  <c r="B57" i="7"/>
  <c r="E57" i="7" s="1"/>
  <c r="H56" i="7"/>
  <c r="B56" i="7"/>
  <c r="F56" i="7" s="1"/>
  <c r="H55" i="7"/>
  <c r="B55" i="7"/>
  <c r="H54" i="7"/>
  <c r="B54" i="7"/>
  <c r="H53" i="7"/>
  <c r="B53" i="7"/>
  <c r="E53" i="7" s="1"/>
  <c r="H52" i="7"/>
  <c r="B52" i="7"/>
  <c r="F52" i="7" s="1"/>
  <c r="H51" i="7"/>
  <c r="B51" i="7"/>
  <c r="E51" i="7" s="1"/>
  <c r="H50" i="7"/>
  <c r="B50" i="7"/>
  <c r="F50" i="7" s="1"/>
  <c r="H49" i="7"/>
  <c r="B49" i="7"/>
  <c r="F49" i="7" s="1"/>
  <c r="H48" i="7"/>
  <c r="B48" i="7"/>
  <c r="H47" i="7"/>
  <c r="B47" i="7"/>
  <c r="H46" i="7"/>
  <c r="B46" i="7"/>
  <c r="F46" i="7" s="1"/>
  <c r="H45" i="7"/>
  <c r="B45" i="7"/>
  <c r="E45" i="7" s="1"/>
  <c r="H44" i="7"/>
  <c r="B44" i="7"/>
  <c r="E44" i="7" s="1"/>
  <c r="H43" i="7"/>
  <c r="B43" i="7"/>
  <c r="E43" i="7" s="1"/>
  <c r="H42" i="7"/>
  <c r="B42" i="7"/>
  <c r="F42" i="7" s="1"/>
  <c r="H41" i="7"/>
  <c r="B41" i="7"/>
  <c r="F41" i="7" s="1"/>
  <c r="H40" i="7"/>
  <c r="B40" i="7"/>
  <c r="H39" i="7"/>
  <c r="B39" i="7"/>
  <c r="F39" i="7" s="1"/>
  <c r="H38" i="7"/>
  <c r="B38" i="7"/>
  <c r="E38" i="7" s="1"/>
  <c r="B37" i="7"/>
  <c r="E37" i="7" s="1"/>
  <c r="B36" i="7"/>
  <c r="H35" i="7"/>
  <c r="B35" i="7"/>
  <c r="F35" i="7" s="1"/>
  <c r="H34" i="7"/>
  <c r="B34" i="7"/>
  <c r="F34" i="7" s="1"/>
  <c r="H33" i="7"/>
  <c r="B33" i="7"/>
  <c r="F33" i="7" s="1"/>
  <c r="H32" i="7"/>
  <c r="B32" i="7"/>
  <c r="F32" i="7" s="1"/>
  <c r="H31" i="7"/>
  <c r="B31" i="7"/>
  <c r="E31" i="7" s="1"/>
  <c r="H30" i="7"/>
  <c r="B30" i="7"/>
  <c r="F30" i="7" s="1"/>
  <c r="H29" i="7"/>
  <c r="B29" i="7"/>
  <c r="H28" i="7"/>
  <c r="B28" i="7"/>
  <c r="H27" i="7"/>
  <c r="B27" i="7"/>
  <c r="F27" i="7" s="1"/>
  <c r="H26" i="7"/>
  <c r="B26" i="7"/>
  <c r="E26" i="7" s="1"/>
  <c r="H25" i="7"/>
  <c r="B25" i="7"/>
  <c r="E25" i="7" s="1"/>
  <c r="H24" i="7"/>
  <c r="B24" i="7"/>
  <c r="F24" i="7" s="1"/>
  <c r="H23" i="7"/>
  <c r="B23" i="7"/>
  <c r="F23" i="7" s="1"/>
  <c r="H22" i="7"/>
  <c r="B22" i="7"/>
  <c r="F22" i="7" s="1"/>
  <c r="H21" i="7"/>
  <c r="B21" i="7"/>
  <c r="H20" i="7"/>
  <c r="B20" i="7"/>
  <c r="E20" i="7" s="1"/>
  <c r="H19" i="7"/>
  <c r="B19" i="7"/>
  <c r="F19" i="7" s="1"/>
  <c r="H18" i="7"/>
  <c r="B18" i="7"/>
  <c r="E18" i="7" s="1"/>
  <c r="H17" i="7"/>
  <c r="B17" i="7"/>
  <c r="H16" i="7"/>
  <c r="B16" i="7"/>
  <c r="H15" i="7"/>
  <c r="B15" i="7"/>
  <c r="E15" i="7" s="1"/>
  <c r="H14" i="7"/>
  <c r="B14" i="7"/>
  <c r="E14" i="7" s="1"/>
  <c r="H13" i="7"/>
  <c r="B13" i="7"/>
  <c r="F13" i="7" s="1"/>
  <c r="H12" i="7"/>
  <c r="B12" i="7"/>
  <c r="F12" i="7" s="1"/>
  <c r="H11" i="7"/>
  <c r="B11" i="7"/>
  <c r="F11" i="7" s="1"/>
  <c r="H10" i="7"/>
  <c r="B10" i="7"/>
  <c r="E10" i="7" s="1"/>
  <c r="H9" i="7"/>
  <c r="B9" i="7"/>
  <c r="H8" i="7"/>
  <c r="B8" i="7"/>
  <c r="H7" i="7"/>
  <c r="F7" i="7"/>
  <c r="E7" i="7"/>
  <c r="F6" i="7"/>
  <c r="E6" i="7"/>
  <c r="F5" i="7"/>
  <c r="E5" i="7"/>
  <c r="B4" i="7"/>
  <c r="F4" i="7" s="1"/>
  <c r="G3" i="7"/>
  <c r="G4" i="7" s="1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1" i="7" s="1"/>
  <c r="B3" i="7"/>
  <c r="E3" i="7" s="1"/>
  <c r="B2" i="7"/>
  <c r="E2" i="7" s="1"/>
  <c r="B1" i="7"/>
  <c r="AE92" i="3"/>
  <c r="E92" i="3" s="1" a="1"/>
  <c r="E92" i="3" s="1"/>
  <c r="L88" i="3" a="1"/>
  <c r="L88" i="3" s="1"/>
  <c r="B88" i="9" s="1"/>
  <c r="M88" i="3" a="1"/>
  <c r="M88" i="3" s="1"/>
  <c r="N88" i="3" a="1"/>
  <c r="N88" i="3" s="1"/>
  <c r="S88" i="3" a="1"/>
  <c r="S88" i="3" s="1"/>
  <c r="AE79" i="3"/>
  <c r="N79" i="3" a="1"/>
  <c r="N79" i="3" s="1"/>
  <c r="M79" i="3" a="1"/>
  <c r="M79" i="3" s="1"/>
  <c r="L79" i="3" a="1"/>
  <c r="L79" i="3" s="1"/>
  <c r="B80" i="9" s="1"/>
  <c r="J79" i="3" a="1"/>
  <c r="J79" i="3" s="1"/>
  <c r="E79" i="3" a="1"/>
  <c r="E79" i="3" s="1"/>
  <c r="M68" i="3" a="1"/>
  <c r="M68" i="3" s="1"/>
  <c r="AE68" i="3"/>
  <c r="J68" i="3" s="1" a="1"/>
  <c r="J68" i="3" s="1"/>
  <c r="N3" i="3" a="1"/>
  <c r="N3" i="3" s="1"/>
  <c r="N4" i="3" a="1"/>
  <c r="N4" i="3" s="1"/>
  <c r="N5" i="3" a="1"/>
  <c r="N5" i="3" s="1"/>
  <c r="N6" i="3" a="1"/>
  <c r="N6" i="3" s="1"/>
  <c r="N7" i="3" a="1"/>
  <c r="N7" i="3" s="1"/>
  <c r="N8" i="3" a="1"/>
  <c r="N8" i="3" s="1"/>
  <c r="N2" i="3" a="1"/>
  <c r="N2" i="3" s="1"/>
  <c r="M2" i="3" a="1"/>
  <c r="M2" i="3"/>
  <c r="AE31" i="3"/>
  <c r="S31" i="3" s="1" a="1"/>
  <c r="S31" i="3" s="1"/>
  <c r="AE24" i="3"/>
  <c r="E24" i="3" s="1" a="1"/>
  <c r="E24" i="3" s="1"/>
  <c r="AE10" i="3"/>
  <c r="E10" i="3" s="1" a="1"/>
  <c r="E10" i="3" s="1"/>
  <c r="AE11" i="3"/>
  <c r="N11" i="3" s="1" a="1"/>
  <c r="N11" i="3" s="1"/>
  <c r="AE12" i="3"/>
  <c r="N12" i="3" s="1" a="1"/>
  <c r="N12" i="3" s="1"/>
  <c r="AE13" i="3"/>
  <c r="N13" i="3" s="1" a="1"/>
  <c r="N13" i="3" s="1"/>
  <c r="AE14" i="3"/>
  <c r="E14" i="3" s="1" a="1"/>
  <c r="E14" i="3" s="1"/>
  <c r="AE15" i="3"/>
  <c r="N15" i="3" s="1" a="1"/>
  <c r="N15" i="3" s="1"/>
  <c r="AE16" i="3"/>
  <c r="E16" i="3" s="1" a="1"/>
  <c r="E16" i="3" s="1"/>
  <c r="AE17" i="3"/>
  <c r="N17" i="3" s="1" a="1"/>
  <c r="N17" i="3" s="1"/>
  <c r="AE18" i="3"/>
  <c r="N18" i="3" s="1" a="1"/>
  <c r="N18" i="3" s="1"/>
  <c r="AE19" i="3"/>
  <c r="N19" i="3" s="1" a="1"/>
  <c r="N19" i="3" s="1"/>
  <c r="AE20" i="3"/>
  <c r="F20" i="3" s="1" a="1"/>
  <c r="F20" i="3" s="1"/>
  <c r="AE21" i="3"/>
  <c r="S21" i="3" s="1" a="1"/>
  <c r="S21" i="3" s="1"/>
  <c r="AE22" i="3"/>
  <c r="F22" i="3" s="1" a="1"/>
  <c r="F22" i="3" s="1"/>
  <c r="AE23" i="3"/>
  <c r="N23" i="3" s="1" a="1"/>
  <c r="N23" i="3" s="1"/>
  <c r="AE25" i="3"/>
  <c r="E25" i="3" s="1" a="1"/>
  <c r="E25" i="3" s="1"/>
  <c r="AE26" i="3"/>
  <c r="F26" i="3" s="1" a="1"/>
  <c r="F26" i="3" s="1"/>
  <c r="AE27" i="3"/>
  <c r="F27" i="3" s="1" a="1"/>
  <c r="F27" i="3" s="1"/>
  <c r="AE28" i="3"/>
  <c r="F28" i="3" s="1" a="1"/>
  <c r="F28" i="3" s="1"/>
  <c r="AE29" i="3"/>
  <c r="S29" i="3" s="1" a="1"/>
  <c r="S29" i="3" s="1"/>
  <c r="AE30" i="3"/>
  <c r="N30" i="3" s="1" a="1"/>
  <c r="N30" i="3" s="1"/>
  <c r="AE32" i="3"/>
  <c r="N32" i="3" s="1" a="1"/>
  <c r="N32" i="3" s="1"/>
  <c r="AE33" i="3"/>
  <c r="N33" i="3" s="1" a="1"/>
  <c r="N33" i="3" s="1"/>
  <c r="AE34" i="3"/>
  <c r="E34" i="3" s="1" a="1"/>
  <c r="E34" i="3" s="1"/>
  <c r="AE35" i="3"/>
  <c r="N35" i="3" s="1" a="1"/>
  <c r="N35" i="3" s="1"/>
  <c r="AE36" i="3"/>
  <c r="F36" i="3" s="1" a="1"/>
  <c r="F36" i="3" s="1"/>
  <c r="AE37" i="3"/>
  <c r="F37" i="3" s="1" a="1"/>
  <c r="F37" i="3" s="1"/>
  <c r="AE38" i="3"/>
  <c r="AE39" i="3"/>
  <c r="S39" i="3" s="1" a="1"/>
  <c r="S39" i="3" s="1"/>
  <c r="AE40" i="3"/>
  <c r="F40" i="3" s="1" a="1"/>
  <c r="F40" i="3" s="1"/>
  <c r="AE41" i="3"/>
  <c r="F41" i="3" s="1" a="1"/>
  <c r="F41" i="3" s="1"/>
  <c r="AE42" i="3"/>
  <c r="E42" i="3" s="1" a="1"/>
  <c r="E42" i="3" s="1"/>
  <c r="AE43" i="3"/>
  <c r="AE44" i="3"/>
  <c r="F44" i="3" s="1" a="1"/>
  <c r="F44" i="3" s="1"/>
  <c r="AE45" i="3"/>
  <c r="F45" i="3" s="1" a="1"/>
  <c r="F45" i="3" s="1"/>
  <c r="AE46" i="3"/>
  <c r="S46" i="3" s="1" a="1"/>
  <c r="S46" i="3" s="1"/>
  <c r="AE47" i="3"/>
  <c r="AE48" i="3"/>
  <c r="F48" i="3" s="1" a="1"/>
  <c r="F48" i="3" s="1"/>
  <c r="AE49" i="3"/>
  <c r="AE50" i="3"/>
  <c r="E50" i="3" s="1" a="1"/>
  <c r="E50" i="3" s="1"/>
  <c r="AE51" i="3"/>
  <c r="F51" i="3" s="1" a="1"/>
  <c r="F51" i="3" s="1"/>
  <c r="AE52" i="3"/>
  <c r="M52" i="3" s="1" a="1"/>
  <c r="M52" i="3" s="1"/>
  <c r="AE53" i="3"/>
  <c r="F53" i="3" s="1" a="1"/>
  <c r="F53" i="3" s="1"/>
  <c r="AE54" i="3"/>
  <c r="S54" i="3" s="1" a="1"/>
  <c r="S54" i="3" s="1"/>
  <c r="AE55" i="3"/>
  <c r="S55" i="3" s="1" a="1"/>
  <c r="S55" i="3" s="1"/>
  <c r="AE56" i="3"/>
  <c r="F56" i="3" s="1" a="1"/>
  <c r="F56" i="3" s="1"/>
  <c r="AE57" i="3"/>
  <c r="F57" i="3" s="1" a="1"/>
  <c r="F57" i="3" s="1"/>
  <c r="AE58" i="3"/>
  <c r="E58" i="3" s="1" a="1"/>
  <c r="E58" i="3" s="1"/>
  <c r="AE59" i="3"/>
  <c r="F59" i="3" s="1" a="1"/>
  <c r="F59" i="3" s="1"/>
  <c r="AE60" i="3"/>
  <c r="M60" i="3" s="1" a="1"/>
  <c r="M60" i="3" s="1"/>
  <c r="AE61" i="3"/>
  <c r="F61" i="3" s="1" a="1"/>
  <c r="F61" i="3" s="1"/>
  <c r="AE62" i="3"/>
  <c r="S62" i="3" s="1" a="1"/>
  <c r="S62" i="3" s="1"/>
  <c r="AE63" i="3"/>
  <c r="AE64" i="3"/>
  <c r="F64" i="3" s="1" a="1"/>
  <c r="F64" i="3" s="1"/>
  <c r="AE65" i="3"/>
  <c r="F65" i="3" s="1" a="1"/>
  <c r="F65" i="3" s="1"/>
  <c r="AE66" i="3"/>
  <c r="E66" i="3" s="1" a="1"/>
  <c r="E66" i="3" s="1"/>
  <c r="AE67" i="3"/>
  <c r="S67" i="3" s="1" a="1"/>
  <c r="S67" i="3" s="1"/>
  <c r="AE69" i="3"/>
  <c r="S69" i="3" s="1" a="1"/>
  <c r="S69" i="3" s="1"/>
  <c r="AE70" i="3"/>
  <c r="S70" i="3" s="1" a="1"/>
  <c r="S70" i="3" s="1"/>
  <c r="AE71" i="3"/>
  <c r="AE72" i="3"/>
  <c r="S72" i="3" s="1" a="1"/>
  <c r="S72" i="3" s="1"/>
  <c r="AE73" i="3"/>
  <c r="S73" i="3" s="1" a="1"/>
  <c r="S73" i="3" s="1"/>
  <c r="AE74" i="3"/>
  <c r="S74" i="3" s="1" a="1"/>
  <c r="S74" i="3" s="1"/>
  <c r="AE75" i="3"/>
  <c r="E75" i="3" s="1" a="1"/>
  <c r="E75" i="3" s="1"/>
  <c r="AE76" i="3"/>
  <c r="AE77" i="3"/>
  <c r="S77" i="3" s="1" a="1"/>
  <c r="S77" i="3" s="1"/>
  <c r="AE78" i="3"/>
  <c r="S78" i="3" s="1" a="1"/>
  <c r="S78" i="3" s="1"/>
  <c r="AE80" i="3"/>
  <c r="AE81" i="3"/>
  <c r="S81" i="3" s="1" a="1"/>
  <c r="S81" i="3" s="1"/>
  <c r="AE82" i="3"/>
  <c r="S82" i="3" s="1" a="1"/>
  <c r="S82" i="3" s="1"/>
  <c r="AE83" i="3"/>
  <c r="S83" i="3" s="1" a="1"/>
  <c r="S83" i="3" s="1"/>
  <c r="AE84" i="3"/>
  <c r="E84" i="3" s="1" a="1"/>
  <c r="E84" i="3" s="1"/>
  <c r="AE85" i="3"/>
  <c r="S85" i="3" s="1" a="1"/>
  <c r="S85" i="3" s="1"/>
  <c r="AE86" i="3"/>
  <c r="S86" i="3" s="1" a="1"/>
  <c r="S86" i="3" s="1"/>
  <c r="AE87" i="3"/>
  <c r="AE88" i="3"/>
  <c r="F88" i="3" s="1" a="1"/>
  <c r="F88" i="3" s="1"/>
  <c r="AE89" i="3"/>
  <c r="E89" i="3" s="1" a="1"/>
  <c r="E89" i="3" s="1"/>
  <c r="AE91" i="3"/>
  <c r="J91" i="3" s="1" a="1"/>
  <c r="J91" i="3" s="1"/>
  <c r="AE9" i="3"/>
  <c r="E9" i="3" s="1" a="1"/>
  <c r="E9" i="3" s="1"/>
  <c r="F6" i="3"/>
  <c r="E4" i="3" a="1"/>
  <c r="E4" i="3" s="1"/>
  <c r="E5" i="3" a="1"/>
  <c r="E5" i="3" s="1"/>
  <c r="E6" i="3" a="1"/>
  <c r="E6" i="3" s="1"/>
  <c r="E7" i="3" a="1"/>
  <c r="E7" i="3" s="1"/>
  <c r="E8" i="3" a="1"/>
  <c r="E8" i="3" s="1"/>
  <c r="E11" i="3" a="1"/>
  <c r="E11" i="3" s="1"/>
  <c r="E12" i="3" a="1"/>
  <c r="E12" i="3" s="1"/>
  <c r="E13" i="3" a="1"/>
  <c r="E13" i="3" s="1"/>
  <c r="E15" i="3" a="1"/>
  <c r="E15" i="3" s="1"/>
  <c r="E17" i="3" a="1"/>
  <c r="E17" i="3" s="1"/>
  <c r="E23" i="3" a="1"/>
  <c r="E23" i="3" s="1"/>
  <c r="E26" i="3" a="1"/>
  <c r="E26" i="3" s="1"/>
  <c r="E28" i="3" a="1"/>
  <c r="E28" i="3" s="1"/>
  <c r="E29" i="3" a="1"/>
  <c r="E29" i="3" s="1"/>
  <c r="E30" i="3" a="1"/>
  <c r="E30" i="3" s="1"/>
  <c r="E32" i="3" a="1"/>
  <c r="E32" i="3" s="1"/>
  <c r="E33" i="3" a="1"/>
  <c r="E33" i="3" s="1"/>
  <c r="E35" i="3" a="1"/>
  <c r="E35" i="3" s="1"/>
  <c r="E37" i="3" a="1"/>
  <c r="E37" i="3" s="1"/>
  <c r="E38" i="3" a="1"/>
  <c r="E38" i="3" s="1"/>
  <c r="E39" i="3" a="1"/>
  <c r="E39" i="3" s="1"/>
  <c r="E40" i="3" a="1"/>
  <c r="E40" i="3" s="1"/>
  <c r="E41" i="3" a="1"/>
  <c r="E41" i="3" s="1"/>
  <c r="E43" i="3" a="1"/>
  <c r="E43" i="3" s="1"/>
  <c r="E45" i="3" a="1"/>
  <c r="E45" i="3" s="1"/>
  <c r="E46" i="3" a="1"/>
  <c r="E46" i="3" s="1"/>
  <c r="E47" i="3" a="1"/>
  <c r="E47" i="3" s="1"/>
  <c r="E48" i="3" a="1"/>
  <c r="E48" i="3" s="1"/>
  <c r="E49" i="3" a="1"/>
  <c r="E49" i="3" s="1"/>
  <c r="E51" i="3" a="1"/>
  <c r="E51" i="3" s="1"/>
  <c r="E53" i="3" a="1"/>
  <c r="E53" i="3" s="1"/>
  <c r="E55" i="3" a="1"/>
  <c r="E55" i="3" s="1"/>
  <c r="E57" i="3" a="1"/>
  <c r="E57" i="3" s="1"/>
  <c r="E59" i="3" a="1"/>
  <c r="E59" i="3" s="1"/>
  <c r="E61" i="3" a="1"/>
  <c r="E61" i="3" s="1"/>
  <c r="E63" i="3" a="1"/>
  <c r="E63" i="3" s="1"/>
  <c r="E65" i="3" a="1"/>
  <c r="E65" i="3" s="1"/>
  <c r="E67" i="3" a="1"/>
  <c r="E67" i="3" s="1"/>
  <c r="E70" i="3" a="1"/>
  <c r="E70" i="3" s="1"/>
  <c r="E72" i="3" a="1"/>
  <c r="E72" i="3" s="1"/>
  <c r="E73" i="3" a="1"/>
  <c r="E73" i="3" s="1"/>
  <c r="E74" i="3" a="1"/>
  <c r="E74" i="3" s="1"/>
  <c r="E76" i="3" a="1"/>
  <c r="E76" i="3" s="1"/>
  <c r="E78" i="3" a="1"/>
  <c r="E78" i="3" s="1"/>
  <c r="E80" i="3" a="1"/>
  <c r="E80" i="3" s="1"/>
  <c r="E3" i="3" a="1"/>
  <c r="E3" i="3" s="1"/>
  <c r="E2" i="3" a="1"/>
  <c r="E2" i="3" s="1"/>
  <c r="M3" i="3" a="1"/>
  <c r="M3" i="3" s="1"/>
  <c r="M4" i="3" a="1"/>
  <c r="M4" i="3" s="1"/>
  <c r="M5" i="3" a="1"/>
  <c r="M5" i="3" s="1"/>
  <c r="M6" i="3" a="1"/>
  <c r="M6" i="3" s="1"/>
  <c r="M7" i="3" a="1"/>
  <c r="M7" i="3" s="1"/>
  <c r="M8" i="3" a="1"/>
  <c r="M8" i="3" s="1"/>
  <c r="M11" i="3" a="1"/>
  <c r="M11" i="3" s="1"/>
  <c r="M13" i="3" a="1"/>
  <c r="M13" i="3" s="1"/>
  <c r="M15" i="3" a="1"/>
  <c r="M15" i="3" s="1"/>
  <c r="M16" i="3" a="1"/>
  <c r="M16" i="3" s="1"/>
  <c r="M17" i="3" a="1"/>
  <c r="M17" i="3" s="1"/>
  <c r="M19" i="3" a="1"/>
  <c r="M19" i="3" s="1"/>
  <c r="M20" i="3" a="1"/>
  <c r="M20" i="3" s="1"/>
  <c r="M21" i="3" a="1"/>
  <c r="M21" i="3" s="1"/>
  <c r="M22" i="3" a="1"/>
  <c r="M22" i="3" s="1"/>
  <c r="M23" i="3" a="1"/>
  <c r="M23" i="3" s="1"/>
  <c r="M28" i="3" a="1"/>
  <c r="M28" i="3" s="1"/>
  <c r="M30" i="3" a="1"/>
  <c r="M30" i="3" s="1"/>
  <c r="M34" i="3" a="1"/>
  <c r="M34" i="3" s="1"/>
  <c r="M35" i="3" a="1"/>
  <c r="M35" i="3" s="1"/>
  <c r="M37" i="3" a="1"/>
  <c r="M37" i="3" s="1"/>
  <c r="M38" i="3" a="1"/>
  <c r="M38" i="3" s="1"/>
  <c r="M39" i="3" a="1"/>
  <c r="M39" i="3" s="1"/>
  <c r="M41" i="3" a="1"/>
  <c r="M41" i="3" s="1"/>
  <c r="M42" i="3" a="1"/>
  <c r="M42" i="3" s="1"/>
  <c r="M43" i="3" a="1"/>
  <c r="M43" i="3" s="1"/>
  <c r="M45" i="3" a="1"/>
  <c r="M45" i="3" s="1"/>
  <c r="M46" i="3" a="1"/>
  <c r="M46" i="3" s="1"/>
  <c r="M47" i="3" a="1"/>
  <c r="M47" i="3" s="1"/>
  <c r="M48" i="3" a="1"/>
  <c r="M48" i="3" s="1"/>
  <c r="M49" i="3" a="1"/>
  <c r="M49" i="3" s="1"/>
  <c r="M50" i="3" a="1"/>
  <c r="M50" i="3" s="1"/>
  <c r="M51" i="3" a="1"/>
  <c r="M51" i="3" s="1"/>
  <c r="M53" i="3" a="1"/>
  <c r="M53" i="3" s="1"/>
  <c r="M55" i="3" a="1"/>
  <c r="M55" i="3" s="1"/>
  <c r="M57" i="3" a="1"/>
  <c r="M57" i="3" s="1"/>
  <c r="M58" i="3" a="1"/>
  <c r="M58" i="3" s="1"/>
  <c r="M59" i="3" a="1"/>
  <c r="M59" i="3" s="1"/>
  <c r="M61" i="3" a="1"/>
  <c r="M61" i="3" s="1"/>
  <c r="M62" i="3" a="1"/>
  <c r="M62" i="3" s="1"/>
  <c r="M63" i="3" a="1"/>
  <c r="M63" i="3" s="1"/>
  <c r="M64" i="3" a="1"/>
  <c r="M64" i="3" s="1"/>
  <c r="M65" i="3" a="1"/>
  <c r="M65" i="3" s="1"/>
  <c r="M66" i="3" a="1"/>
  <c r="M66" i="3" s="1"/>
  <c r="M67" i="3" a="1"/>
  <c r="M67" i="3" s="1"/>
  <c r="M70" i="3" a="1"/>
  <c r="M70" i="3" s="1"/>
  <c r="M72" i="3" a="1"/>
  <c r="M72" i="3" s="1"/>
  <c r="M73" i="3" a="1"/>
  <c r="M73" i="3" s="1"/>
  <c r="M74" i="3" a="1"/>
  <c r="M74" i="3" s="1"/>
  <c r="M75" i="3" a="1"/>
  <c r="M75" i="3" s="1"/>
  <c r="M76" i="3" a="1"/>
  <c r="M76" i="3" s="1"/>
  <c r="M78" i="3" a="1"/>
  <c r="M78" i="3" s="1"/>
  <c r="M87" i="3" a="1"/>
  <c r="M87" i="3" s="1"/>
  <c r="L3" i="3" a="1"/>
  <c r="L3" i="3" s="1"/>
  <c r="B5" i="9" s="1"/>
  <c r="L2" i="3" a="1"/>
  <c r="L2" i="3" s="1"/>
  <c r="B4" i="9" s="1"/>
  <c r="L7" i="3" a="1"/>
  <c r="L7" i="3" s="1"/>
  <c r="B9" i="9" s="1"/>
  <c r="L8" i="3" a="1"/>
  <c r="L8" i="3" s="1"/>
  <c r="B10" i="9" s="1"/>
  <c r="L9" i="3" a="1"/>
  <c r="L9" i="3" s="1"/>
  <c r="B11" i="9" s="1"/>
  <c r="L11" i="3" a="1"/>
  <c r="L11" i="3" s="1"/>
  <c r="B13" i="9" s="1"/>
  <c r="L12" i="3" a="1"/>
  <c r="L12" i="3" s="1"/>
  <c r="B14" i="9" s="1"/>
  <c r="L13" i="3" a="1"/>
  <c r="L13" i="3" s="1"/>
  <c r="B15" i="9" s="1"/>
  <c r="L15" i="3" a="1"/>
  <c r="L15" i="3" s="1"/>
  <c r="B17" i="9" s="1"/>
  <c r="L16" i="3" a="1"/>
  <c r="L16" i="3" s="1"/>
  <c r="B18" i="9" s="1"/>
  <c r="L17" i="3" a="1"/>
  <c r="L17" i="3" s="1"/>
  <c r="B19" i="9" s="1"/>
  <c r="L19" i="3" a="1"/>
  <c r="L19" i="3" s="1"/>
  <c r="B21" i="9" s="1"/>
  <c r="L21" i="3" a="1"/>
  <c r="L21" i="3" s="1"/>
  <c r="B23" i="9" s="1"/>
  <c r="L22" i="3" a="1"/>
  <c r="L22" i="3" s="1"/>
  <c r="B24" i="9" s="1"/>
  <c r="L23" i="3" a="1"/>
  <c r="L23" i="3" s="1"/>
  <c r="B25" i="9" s="1"/>
  <c r="L26" i="3" a="1"/>
  <c r="L26" i="3" s="1"/>
  <c r="B28" i="9" s="1"/>
  <c r="L28" i="3" a="1"/>
  <c r="L28" i="3" s="1"/>
  <c r="B30" i="9" s="1"/>
  <c r="L29" i="3" a="1"/>
  <c r="L29" i="3" s="1"/>
  <c r="B31" i="9" s="1"/>
  <c r="L30" i="3" a="1"/>
  <c r="L30" i="3" s="1"/>
  <c r="B32" i="9" s="1"/>
  <c r="L32" i="3" a="1"/>
  <c r="L32" i="3" s="1"/>
  <c r="L33" i="3" a="1"/>
  <c r="L33" i="3" s="1"/>
  <c r="L34" i="3" a="1"/>
  <c r="L34" i="3" s="1"/>
  <c r="L35" i="3" a="1"/>
  <c r="L35" i="3" s="1"/>
  <c r="L37" i="3" a="1"/>
  <c r="L37" i="3" s="1"/>
  <c r="B38" i="9" s="1"/>
  <c r="L38" i="3" a="1"/>
  <c r="L38" i="3" s="1"/>
  <c r="B39" i="9" s="1"/>
  <c r="L39" i="3" a="1"/>
  <c r="L39" i="3" s="1"/>
  <c r="B40" i="9" s="1"/>
  <c r="L40" i="3" a="1"/>
  <c r="L40" i="3" s="1"/>
  <c r="B41" i="9" s="1"/>
  <c r="L41" i="3" a="1"/>
  <c r="L41" i="3" s="1"/>
  <c r="B42" i="9" s="1"/>
  <c r="L42" i="3" a="1"/>
  <c r="L42" i="3" s="1"/>
  <c r="B43" i="9" s="1"/>
  <c r="L43" i="3" a="1"/>
  <c r="L43" i="3" s="1"/>
  <c r="B44" i="9" s="1"/>
  <c r="L45" i="3" a="1"/>
  <c r="L45" i="3" s="1"/>
  <c r="B46" i="9" s="1"/>
  <c r="L46" i="3" a="1"/>
  <c r="L46" i="3" s="1"/>
  <c r="B47" i="9" s="1"/>
  <c r="L47" i="3" a="1"/>
  <c r="L47" i="3" s="1"/>
  <c r="B48" i="9" s="1"/>
  <c r="L48" i="3" a="1"/>
  <c r="L48" i="3" s="1"/>
  <c r="B49" i="9" s="1"/>
  <c r="L49" i="3" a="1"/>
  <c r="L49" i="3" s="1"/>
  <c r="B50" i="9" s="1"/>
  <c r="L50" i="3" a="1"/>
  <c r="L50" i="3" s="1"/>
  <c r="B51" i="9" s="1"/>
  <c r="L51" i="3" a="1"/>
  <c r="L51" i="3" s="1"/>
  <c r="B52" i="9" s="1"/>
  <c r="L53" i="3" a="1"/>
  <c r="L53" i="3" s="1"/>
  <c r="B54" i="9" s="1"/>
  <c r="L54" i="3" a="1"/>
  <c r="L54" i="3" s="1"/>
  <c r="B55" i="9" s="1"/>
  <c r="L55" i="3" a="1"/>
  <c r="L55" i="3" s="1"/>
  <c r="B56" i="9" s="1"/>
  <c r="L56" i="3" a="1"/>
  <c r="L56" i="3" s="1"/>
  <c r="B57" i="9" s="1"/>
  <c r="L57" i="3" a="1"/>
  <c r="L57" i="3" s="1"/>
  <c r="B58" i="9" s="1"/>
  <c r="L58" i="3" a="1"/>
  <c r="L58" i="3" s="1"/>
  <c r="B59" i="9" s="1"/>
  <c r="L59" i="3" a="1"/>
  <c r="L59" i="3" s="1"/>
  <c r="B60" i="9" s="1"/>
  <c r="L61" i="3" a="1"/>
  <c r="L61" i="3" s="1"/>
  <c r="B62" i="9" s="1"/>
  <c r="L62" i="3" a="1"/>
  <c r="L62" i="3" s="1"/>
  <c r="B63" i="9" s="1"/>
  <c r="L63" i="3" a="1"/>
  <c r="L63" i="3" s="1"/>
  <c r="B64" i="9" s="1"/>
  <c r="L65" i="3" a="1"/>
  <c r="L65" i="3" s="1"/>
  <c r="B66" i="9" s="1"/>
  <c r="L66" i="3" a="1"/>
  <c r="L66" i="3" s="1"/>
  <c r="B67" i="9" s="1"/>
  <c r="L67" i="3" a="1"/>
  <c r="L67" i="3" s="1"/>
  <c r="B68" i="9" s="1"/>
  <c r="L69" i="3" a="1"/>
  <c r="L69" i="3" s="1"/>
  <c r="B70" i="9" s="1"/>
  <c r="L70" i="3" a="1"/>
  <c r="L70" i="3" s="1"/>
  <c r="B71" i="9" s="1"/>
  <c r="L72" i="3" a="1"/>
  <c r="L72" i="3" s="1"/>
  <c r="B73" i="9" s="1"/>
  <c r="L74" i="3" a="1"/>
  <c r="L74" i="3" s="1"/>
  <c r="B75" i="9" s="1"/>
  <c r="L75" i="3" a="1"/>
  <c r="L75" i="3" s="1"/>
  <c r="B76" i="9" s="1"/>
  <c r="L76" i="3" a="1"/>
  <c r="L76" i="3" s="1"/>
  <c r="B77" i="9" s="1"/>
  <c r="L78" i="3" a="1"/>
  <c r="L78" i="3" s="1"/>
  <c r="B79" i="9" s="1"/>
  <c r="L81" i="3" a="1"/>
  <c r="L81" i="3" s="1"/>
  <c r="B81" i="9" s="1"/>
  <c r="L85" i="3" a="1"/>
  <c r="L85" i="3" s="1"/>
  <c r="B85" i="9" s="1"/>
  <c r="L87" i="3" a="1"/>
  <c r="L87" i="3" s="1"/>
  <c r="B87" i="9" s="1"/>
  <c r="L4" i="3" a="1"/>
  <c r="L4" i="3" s="1"/>
  <c r="B6" i="9" s="1"/>
  <c r="L5" i="3" a="1"/>
  <c r="L5" i="3" s="1"/>
  <c r="B7" i="9" s="1"/>
  <c r="L6" i="3" a="1"/>
  <c r="L6" i="3" s="1"/>
  <c r="B8" i="9" s="1"/>
  <c r="J6" i="3" a="1"/>
  <c r="J6" i="3" s="1"/>
  <c r="J5" i="3" a="1"/>
  <c r="J5" i="3" s="1"/>
  <c r="J7" i="3" a="1"/>
  <c r="J7" i="3" s="1"/>
  <c r="J8" i="3" a="1"/>
  <c r="J8" i="3" s="1"/>
  <c r="J9" i="3" a="1"/>
  <c r="J9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5" i="3" a="1"/>
  <c r="J25" i="3" s="1"/>
  <c r="J28" i="3" a="1"/>
  <c r="J28" i="3" s="1"/>
  <c r="J35" i="3" a="1"/>
  <c r="J35" i="3" s="1"/>
  <c r="J37" i="3" a="1"/>
  <c r="J37" i="3" s="1"/>
  <c r="J38" i="3" a="1"/>
  <c r="J38" i="3" s="1"/>
  <c r="J39" i="3" a="1"/>
  <c r="J39" i="3" s="1"/>
  <c r="J41" i="3" a="1"/>
  <c r="J41" i="3" s="1"/>
  <c r="J42" i="3" a="1"/>
  <c r="J42" i="3" s="1"/>
  <c r="J43" i="3" a="1"/>
  <c r="J43" i="3" s="1"/>
  <c r="J45" i="3" a="1"/>
  <c r="J45" i="3" s="1"/>
  <c r="J46" i="3" a="1"/>
  <c r="J46" i="3" s="1"/>
  <c r="J47" i="3" a="1"/>
  <c r="J47" i="3" s="1"/>
  <c r="J49" i="3" a="1"/>
  <c r="J49" i="3" s="1"/>
  <c r="J50" i="3" a="1"/>
  <c r="J50" i="3" s="1"/>
  <c r="J51" i="3" a="1"/>
  <c r="J51" i="3" s="1"/>
  <c r="J53" i="3" a="1"/>
  <c r="J53" i="3" s="1"/>
  <c r="J54" i="3" a="1"/>
  <c r="J54" i="3" s="1"/>
  <c r="J55" i="3" a="1"/>
  <c r="J55" i="3" s="1"/>
  <c r="J57" i="3" a="1"/>
  <c r="J57" i="3" s="1"/>
  <c r="J58" i="3" a="1"/>
  <c r="J58" i="3" s="1"/>
  <c r="J59" i="3" a="1"/>
  <c r="J59" i="3" s="1"/>
  <c r="J61" i="3" a="1"/>
  <c r="J61" i="3" s="1"/>
  <c r="J62" i="3" a="1"/>
  <c r="J62" i="3" s="1"/>
  <c r="J63" i="3" a="1"/>
  <c r="J63" i="3" s="1"/>
  <c r="J65" i="3" a="1"/>
  <c r="J65" i="3" s="1"/>
  <c r="J66" i="3" a="1"/>
  <c r="J66" i="3" s="1"/>
  <c r="J67" i="3" a="1"/>
  <c r="J67" i="3" s="1"/>
  <c r="J70" i="3" a="1"/>
  <c r="J70" i="3" s="1"/>
  <c r="J72" i="3" a="1"/>
  <c r="J72" i="3" s="1"/>
  <c r="J73" i="3" a="1"/>
  <c r="J73" i="3" s="1"/>
  <c r="J74" i="3" a="1"/>
  <c r="J74" i="3" s="1"/>
  <c r="J75" i="3" a="1"/>
  <c r="J75" i="3" s="1"/>
  <c r="J76" i="3" a="1"/>
  <c r="J76" i="3" s="1"/>
  <c r="J77" i="3" a="1"/>
  <c r="J77" i="3" s="1"/>
  <c r="J78" i="3" a="1"/>
  <c r="J78" i="3" s="1"/>
  <c r="J80" i="3" a="1"/>
  <c r="J80" i="3" s="1"/>
  <c r="J86" i="3" a="1"/>
  <c r="J86" i="3" s="1"/>
  <c r="J87" i="3" a="1"/>
  <c r="J87" i="3" s="1"/>
  <c r="J2" i="3" a="1"/>
  <c r="J2" i="3" s="1"/>
  <c r="J3" i="3" a="1"/>
  <c r="J3" i="3" s="1"/>
  <c r="J4" i="3" a="1"/>
  <c r="J4" i="3" s="1"/>
  <c r="S18" i="3"/>
  <c r="F18" i="3"/>
  <c r="S17" i="3"/>
  <c r="S16" i="3"/>
  <c r="F16" i="3"/>
  <c r="F15" i="3"/>
  <c r="S14" i="3"/>
  <c r="F14" i="3"/>
  <c r="S13" i="3"/>
  <c r="F13" i="3"/>
  <c r="F12" i="3"/>
  <c r="S11" i="3"/>
  <c r="S10" i="3"/>
  <c r="F10" i="3"/>
  <c r="S9" i="3"/>
  <c r="F9" i="3"/>
  <c r="F8" i="3"/>
  <c r="S7" i="3"/>
  <c r="S5" i="3"/>
  <c r="F7" i="3"/>
  <c r="S4" i="3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5" i="3" s="1"/>
  <c r="C26" i="3" s="1"/>
  <c r="C27" i="3" s="1"/>
  <c r="C28" i="3" s="1"/>
  <c r="C29" i="3" s="1"/>
  <c r="C30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1" i="3" s="1"/>
  <c r="C92" i="3" s="1"/>
  <c r="L92" i="3" l="1" a="1"/>
  <c r="L92" i="3" s="1"/>
  <c r="B92" i="9" s="1"/>
  <c r="F91" i="3" a="1"/>
  <c r="F91" i="3" s="1"/>
  <c r="E91" i="3" a="1"/>
  <c r="E91" i="3" s="1"/>
  <c r="N91" i="3" a="1"/>
  <c r="N91" i="3" s="1"/>
  <c r="M91" i="3" a="1"/>
  <c r="M91" i="3" s="1"/>
  <c r="E178" i="7"/>
  <c r="E180" i="7"/>
  <c r="E124" i="7"/>
  <c r="F86" i="7"/>
  <c r="E207" i="7"/>
  <c r="E80" i="7"/>
  <c r="G80" i="7"/>
  <c r="G62" i="7"/>
  <c r="G63" i="7" s="1"/>
  <c r="G64" i="7" s="1"/>
  <c r="E33" i="7"/>
  <c r="F14" i="7"/>
  <c r="E98" i="7"/>
  <c r="F122" i="7"/>
  <c r="F186" i="7"/>
  <c r="F116" i="7"/>
  <c r="F146" i="7"/>
  <c r="F161" i="7"/>
  <c r="F168" i="7"/>
  <c r="F153" i="7"/>
  <c r="F103" i="7"/>
  <c r="F167" i="7"/>
  <c r="E42" i="7"/>
  <c r="E141" i="7"/>
  <c r="E91" i="7"/>
  <c r="E46" i="7"/>
  <c r="E203" i="7"/>
  <c r="E11" i="7"/>
  <c r="F25" i="7"/>
  <c r="F74" i="7"/>
  <c r="E106" i="7"/>
  <c r="F218" i="7"/>
  <c r="F211" i="7"/>
  <c r="F15" i="7"/>
  <c r="E83" i="7"/>
  <c r="E89" i="7"/>
  <c r="F114" i="7"/>
  <c r="F177" i="7"/>
  <c r="F187" i="7"/>
  <c r="E19" i="7"/>
  <c r="F107" i="7"/>
  <c r="E191" i="7"/>
  <c r="E202" i="7"/>
  <c r="F195" i="7"/>
  <c r="E76" i="7"/>
  <c r="E4" i="7"/>
  <c r="E75" i="7"/>
  <c r="F85" i="7"/>
  <c r="F100" i="7"/>
  <c r="E144" i="7"/>
  <c r="E151" i="7"/>
  <c r="F194" i="7"/>
  <c r="F210" i="7"/>
  <c r="F220" i="7"/>
  <c r="E104" i="7"/>
  <c r="E123" i="7"/>
  <c r="E175" i="7"/>
  <c r="E185" i="7"/>
  <c r="F3" i="7"/>
  <c r="F20" i="7"/>
  <c r="F31" i="7"/>
  <c r="E34" i="7"/>
  <c r="E41" i="7"/>
  <c r="F81" i="7"/>
  <c r="E99" i="7"/>
  <c r="E152" i="7"/>
  <c r="E159" i="7"/>
  <c r="E166" i="7"/>
  <c r="E199" i="7"/>
  <c r="F18" i="7"/>
  <c r="F45" i="7"/>
  <c r="F87" i="7"/>
  <c r="F90" i="7"/>
  <c r="E115" i="7"/>
  <c r="E136" i="7"/>
  <c r="E216" i="7"/>
  <c r="E32" i="7"/>
  <c r="E69" i="7"/>
  <c r="F71" i="7"/>
  <c r="E77" i="7"/>
  <c r="E88" i="7"/>
  <c r="F93" i="7"/>
  <c r="E157" i="7"/>
  <c r="F26" i="7"/>
  <c r="F38" i="7"/>
  <c r="F43" i="7"/>
  <c r="F51" i="7"/>
  <c r="F57" i="7"/>
  <c r="F59" i="7"/>
  <c r="E120" i="7"/>
  <c r="F126" i="7"/>
  <c r="E135" i="7"/>
  <c r="F137" i="7"/>
  <c r="E143" i="7"/>
  <c r="E160" i="7"/>
  <c r="E176" i="7"/>
  <c r="E192" i="7"/>
  <c r="E200" i="7"/>
  <c r="E208" i="7"/>
  <c r="F229" i="7"/>
  <c r="E219" i="7"/>
  <c r="F10" i="7"/>
  <c r="E27" i="7"/>
  <c r="E39" i="7"/>
  <c r="F44" i="7"/>
  <c r="E50" i="7"/>
  <c r="E52" i="7"/>
  <c r="E58" i="7"/>
  <c r="E70" i="7"/>
  <c r="E78" i="7"/>
  <c r="E121" i="7"/>
  <c r="E164" i="7"/>
  <c r="E172" i="7"/>
  <c r="E183" i="7"/>
  <c r="E201" i="7"/>
  <c r="E215" i="7"/>
  <c r="F2" i="7"/>
  <c r="F119" i="7"/>
  <c r="E128" i="7"/>
  <c r="E142" i="7"/>
  <c r="E188" i="7"/>
  <c r="F196" i="7"/>
  <c r="F212" i="7"/>
  <c r="F53" i="7"/>
  <c r="E105" i="7"/>
  <c r="F131" i="7"/>
  <c r="F140" i="7"/>
  <c r="E148" i="7"/>
  <c r="E165" i="7"/>
  <c r="E173" i="7"/>
  <c r="E184" i="7"/>
  <c r="G84" i="7"/>
  <c r="G82" i="7"/>
  <c r="E28" i="7"/>
  <c r="F28" i="7"/>
  <c r="E61" i="7"/>
  <c r="F61" i="7"/>
  <c r="E29" i="7"/>
  <c r="F29" i="7"/>
  <c r="F54" i="7"/>
  <c r="E54" i="7"/>
  <c r="E92" i="7"/>
  <c r="F92" i="7"/>
  <c r="E95" i="7"/>
  <c r="F182" i="7"/>
  <c r="E182" i="7"/>
  <c r="F9" i="7"/>
  <c r="E9" i="7"/>
  <c r="F79" i="7"/>
  <c r="E79" i="7"/>
  <c r="F110" i="7"/>
  <c r="F65" i="7"/>
  <c r="F150" i="7"/>
  <c r="E150" i="7"/>
  <c r="F133" i="7"/>
  <c r="E133" i="7"/>
  <c r="F17" i="7"/>
  <c r="E17" i="7"/>
  <c r="E12" i="7"/>
  <c r="E22" i="7"/>
  <c r="F40" i="7"/>
  <c r="E40" i="7"/>
  <c r="F47" i="7"/>
  <c r="E47" i="7"/>
  <c r="F55" i="7"/>
  <c r="E55" i="7"/>
  <c r="E108" i="7"/>
  <c r="F156" i="7"/>
  <c r="E156" i="7"/>
  <c r="F16" i="7"/>
  <c r="E16" i="7"/>
  <c r="E21" i="7"/>
  <c r="F21" i="7"/>
  <c r="F66" i="7"/>
  <c r="E66" i="7"/>
  <c r="E82" i="7"/>
  <c r="F82" i="7"/>
  <c r="F112" i="7"/>
  <c r="E112" i="7"/>
  <c r="F214" i="7"/>
  <c r="E214" i="7"/>
  <c r="F36" i="7"/>
  <c r="E36" i="7"/>
  <c r="F8" i="7"/>
  <c r="E8" i="7"/>
  <c r="F48" i="7"/>
  <c r="E48" i="7"/>
  <c r="E60" i="7"/>
  <c r="F97" i="7"/>
  <c r="E97" i="7"/>
  <c r="F67" i="7"/>
  <c r="E67" i="7"/>
  <c r="E94" i="7"/>
  <c r="F94" i="7"/>
  <c r="F162" i="7"/>
  <c r="E162" i="7"/>
  <c r="F197" i="7"/>
  <c r="E197" i="7"/>
  <c r="E24" i="7"/>
  <c r="F73" i="7"/>
  <c r="F101" i="7"/>
  <c r="F118" i="7"/>
  <c r="F139" i="7"/>
  <c r="F154" i="7"/>
  <c r="E158" i="7"/>
  <c r="F171" i="7"/>
  <c r="E171" i="7"/>
  <c r="E193" i="7"/>
  <c r="F206" i="7"/>
  <c r="E206" i="7"/>
  <c r="F189" i="7"/>
  <c r="E189" i="7"/>
  <c r="F221" i="7"/>
  <c r="E221" i="7"/>
  <c r="E169" i="7"/>
  <c r="F198" i="7"/>
  <c r="E198" i="7"/>
  <c r="E204" i="7"/>
  <c r="E217" i="7"/>
  <c r="F226" i="7"/>
  <c r="F109" i="7"/>
  <c r="E111" i="7"/>
  <c r="E125" i="7"/>
  <c r="F127" i="7"/>
  <c r="E30" i="7"/>
  <c r="E35" i="7"/>
  <c r="E96" i="7"/>
  <c r="E129" i="7"/>
  <c r="F132" i="7"/>
  <c r="E134" i="7"/>
  <c r="F145" i="7"/>
  <c r="E149" i="7"/>
  <c r="F155" i="7"/>
  <c r="E155" i="7"/>
  <c r="F181" i="7"/>
  <c r="E181" i="7"/>
  <c r="F213" i="7"/>
  <c r="E213" i="7"/>
  <c r="F222" i="7"/>
  <c r="E222" i="7"/>
  <c r="F130" i="7"/>
  <c r="F147" i="7"/>
  <c r="F163" i="7"/>
  <c r="E163" i="7"/>
  <c r="E13" i="7"/>
  <c r="E23" i="7"/>
  <c r="E49" i="7"/>
  <c r="E68" i="7"/>
  <c r="E84" i="7"/>
  <c r="E113" i="7"/>
  <c r="F37" i="7"/>
  <c r="E56" i="7"/>
  <c r="F72" i="7"/>
  <c r="F102" i="7"/>
  <c r="F117" i="7"/>
  <c r="F138" i="7"/>
  <c r="E174" i="7"/>
  <c r="F190" i="7"/>
  <c r="E190" i="7"/>
  <c r="E209" i="7"/>
  <c r="F170" i="7"/>
  <c r="E170" i="7"/>
  <c r="F205" i="7"/>
  <c r="E205" i="7"/>
  <c r="J92" i="3" a="1"/>
  <c r="J92" i="3" s="1"/>
  <c r="N92" i="3" a="1"/>
  <c r="N92" i="3" s="1"/>
  <c r="F92" i="3" a="1"/>
  <c r="F92" i="3" s="1"/>
  <c r="M92" i="3" a="1"/>
  <c r="M92" i="3" s="1"/>
  <c r="J89" i="3" a="1"/>
  <c r="J89" i="3" s="1"/>
  <c r="L89" i="3" a="1"/>
  <c r="L89" i="3" s="1"/>
  <c r="B89" i="9" s="1"/>
  <c r="L91" i="3" a="1"/>
  <c r="L91" i="3" s="1"/>
  <c r="B91" i="9" s="1"/>
  <c r="N89" i="3" a="1"/>
  <c r="N89" i="3" s="1"/>
  <c r="F89" i="3" a="1"/>
  <c r="F89" i="3" s="1"/>
  <c r="M89" i="3" a="1"/>
  <c r="M89" i="3" s="1"/>
  <c r="L83" i="3" a="1"/>
  <c r="L83" i="3" s="1"/>
  <c r="B83" i="9" s="1"/>
  <c r="J83" i="3" a="1"/>
  <c r="J83" i="3" s="1"/>
  <c r="J82" i="3" a="1"/>
  <c r="J82" i="3" s="1"/>
  <c r="M83" i="3" a="1"/>
  <c r="M83" i="3" s="1"/>
  <c r="E82" i="3" a="1"/>
  <c r="E82" i="3" s="1"/>
  <c r="J88" i="3" a="1"/>
  <c r="J88" i="3" s="1"/>
  <c r="J81" i="3" a="1"/>
  <c r="J81" i="3" s="1"/>
  <c r="M81" i="3" a="1"/>
  <c r="M81" i="3" s="1"/>
  <c r="E81" i="3" a="1"/>
  <c r="E81" i="3" s="1"/>
  <c r="E88" i="3" a="1"/>
  <c r="E88" i="3" s="1"/>
  <c r="M85" i="3" a="1"/>
  <c r="M85" i="3" s="1"/>
  <c r="J85" i="3" a="1"/>
  <c r="J85" i="3" s="1"/>
  <c r="E85" i="3" a="1"/>
  <c r="E85" i="3" s="1"/>
  <c r="M84" i="3" a="1"/>
  <c r="M84" i="3" s="1"/>
  <c r="L84" i="3" a="1"/>
  <c r="L84" i="3" s="1"/>
  <c r="B84" i="9" s="1"/>
  <c r="E83" i="3" a="1"/>
  <c r="E83" i="3" s="1"/>
  <c r="J69" i="3" a="1"/>
  <c r="J69" i="3" s="1"/>
  <c r="J60" i="3" a="1"/>
  <c r="J60" i="3" s="1"/>
  <c r="J52" i="3" a="1"/>
  <c r="J52" i="3" s="1"/>
  <c r="J44" i="3" a="1"/>
  <c r="J44" i="3" s="1"/>
  <c r="J36" i="3" a="1"/>
  <c r="J36" i="3" s="1"/>
  <c r="L82" i="3" a="1"/>
  <c r="L82" i="3" s="1"/>
  <c r="B82" i="9" s="1"/>
  <c r="L73" i="3" a="1"/>
  <c r="L73" i="3" s="1"/>
  <c r="B74" i="9" s="1"/>
  <c r="L18" i="3" a="1"/>
  <c r="L18" i="3" s="1"/>
  <c r="B20" i="9" s="1"/>
  <c r="L10" i="3" a="1"/>
  <c r="L10" i="3" s="1"/>
  <c r="B12" i="9" s="1"/>
  <c r="M54" i="3" a="1"/>
  <c r="M54" i="3" s="1"/>
  <c r="M12" i="3" a="1"/>
  <c r="M12" i="3" s="1"/>
  <c r="E64" i="3" a="1"/>
  <c r="E64" i="3" s="1"/>
  <c r="E54" i="3" a="1"/>
  <c r="E54" i="3" s="1"/>
  <c r="N26" i="3" a="1"/>
  <c r="N26" i="3" s="1"/>
  <c r="E68" i="3" a="1"/>
  <c r="E68" i="3" s="1"/>
  <c r="C79" i="3"/>
  <c r="J29" i="3" a="1"/>
  <c r="J29" i="3" s="1"/>
  <c r="J18" i="3" a="1"/>
  <c r="J18" i="3" s="1"/>
  <c r="J10" i="3" a="1"/>
  <c r="J10" i="3" s="1"/>
  <c r="L80" i="3" a="1"/>
  <c r="L80" i="3" s="1"/>
  <c r="L60" i="3" a="1"/>
  <c r="L60" i="3" s="1"/>
  <c r="B61" i="9" s="1"/>
  <c r="L52" i="3" a="1"/>
  <c r="L52" i="3" s="1"/>
  <c r="B53" i="9" s="1"/>
  <c r="L44" i="3" a="1"/>
  <c r="L44" i="3" s="1"/>
  <c r="B45" i="9" s="1"/>
  <c r="L36" i="3" a="1"/>
  <c r="L36" i="3" s="1"/>
  <c r="L27" i="3" a="1"/>
  <c r="L27" i="3" s="1"/>
  <c r="B29" i="9" s="1"/>
  <c r="M82" i="3" a="1"/>
  <c r="M82" i="3" s="1"/>
  <c r="M32" i="3" a="1"/>
  <c r="M32" i="3" s="1"/>
  <c r="M9" i="3" a="1"/>
  <c r="M9" i="3" s="1"/>
  <c r="E62" i="3" a="1"/>
  <c r="E62" i="3" s="1"/>
  <c r="E52" i="3" a="1"/>
  <c r="E52" i="3" s="1"/>
  <c r="C68" i="3"/>
  <c r="S68" i="3" a="1"/>
  <c r="S68" i="3" s="1"/>
  <c r="J64" i="3" a="1"/>
  <c r="J64" i="3" s="1"/>
  <c r="J56" i="3" a="1"/>
  <c r="J56" i="3" s="1"/>
  <c r="J48" i="3" a="1"/>
  <c r="J48" i="3" s="1"/>
  <c r="J40" i="3" a="1"/>
  <c r="J40" i="3" s="1"/>
  <c r="L86" i="3" a="1"/>
  <c r="L86" i="3" s="1"/>
  <c r="B86" i="9" s="1"/>
  <c r="L77" i="3" a="1"/>
  <c r="L77" i="3" s="1"/>
  <c r="B78" i="9" s="1"/>
  <c r="L14" i="3" a="1"/>
  <c r="L14" i="3" s="1"/>
  <c r="B16" i="9" s="1"/>
  <c r="M80" i="3" a="1"/>
  <c r="M80" i="3" s="1"/>
  <c r="M40" i="3" a="1"/>
  <c r="M40" i="3" s="1"/>
  <c r="M29" i="3" a="1"/>
  <c r="M29" i="3" s="1"/>
  <c r="N68" i="3" a="1"/>
  <c r="N68" i="3" s="1"/>
  <c r="M56" i="3" a="1"/>
  <c r="M56" i="3" s="1"/>
  <c r="M14" i="3" a="1"/>
  <c r="M14" i="3" s="1"/>
  <c r="L68" i="3" a="1"/>
  <c r="L68" i="3" s="1"/>
  <c r="B69" i="9" s="1"/>
  <c r="E22" i="3" a="1"/>
  <c r="E22" i="3" s="1"/>
  <c r="N87" i="3" a="1"/>
  <c r="N87" i="3" s="1"/>
  <c r="N21" i="3" a="1"/>
  <c r="N21" i="3" s="1"/>
  <c r="L24" i="3" a="1"/>
  <c r="L24" i="3" s="1"/>
  <c r="B26" i="9" s="1"/>
  <c r="N78" i="3" a="1"/>
  <c r="N78" i="3" s="1"/>
  <c r="N20" i="3" a="1"/>
  <c r="N20" i="3" s="1"/>
  <c r="M24" i="3" a="1"/>
  <c r="M24" i="3" s="1"/>
  <c r="N74" i="3" a="1"/>
  <c r="N74" i="3" s="1"/>
  <c r="N70" i="3" a="1"/>
  <c r="N70" i="3" s="1"/>
  <c r="N16" i="3" a="1"/>
  <c r="N16" i="3" s="1"/>
  <c r="N29" i="3" a="1"/>
  <c r="N29" i="3" s="1"/>
  <c r="N28" i="3" a="1"/>
  <c r="N28" i="3" s="1"/>
  <c r="N10" i="3" a="1"/>
  <c r="N10" i="3" s="1"/>
  <c r="M18" i="3" a="1"/>
  <c r="M18" i="3" s="1"/>
  <c r="M10" i="3" a="1"/>
  <c r="M10" i="3" s="1"/>
  <c r="E60" i="3" a="1"/>
  <c r="E60" i="3" s="1"/>
  <c r="E18" i="3" a="1"/>
  <c r="E18" i="3" s="1"/>
  <c r="M25" i="3" a="1"/>
  <c r="M25" i="3" s="1"/>
  <c r="N86" i="3" a="1"/>
  <c r="N86" i="3" s="1"/>
  <c r="N77" i="3" a="1"/>
  <c r="N77" i="3" s="1"/>
  <c r="N69" i="3" a="1"/>
  <c r="N69" i="3" s="1"/>
  <c r="N22" i="3" a="1"/>
  <c r="N22" i="3" s="1"/>
  <c r="N9" i="3" a="1"/>
  <c r="N9" i="3" s="1"/>
  <c r="E69" i="3" a="1"/>
  <c r="E69" i="3" s="1"/>
  <c r="N85" i="3" a="1"/>
  <c r="N85" i="3" s="1"/>
  <c r="N76" i="3" a="1"/>
  <c r="N76" i="3" s="1"/>
  <c r="N65" i="3" a="1"/>
  <c r="N65" i="3" s="1"/>
  <c r="N34" i="3" a="1"/>
  <c r="N34" i="3" s="1"/>
  <c r="N27" i="3" a="1"/>
  <c r="N27" i="3" s="1"/>
  <c r="F86" i="3" a="1"/>
  <c r="F86" i="3" s="1"/>
  <c r="F77" i="3" a="1"/>
  <c r="F77" i="3" s="1"/>
  <c r="F69" i="3" a="1"/>
  <c r="F69" i="3" s="1"/>
  <c r="M27" i="3" a="1"/>
  <c r="M27" i="3" s="1"/>
  <c r="E87" i="3" a="1"/>
  <c r="E87" i="3" s="1"/>
  <c r="E77" i="3" a="1"/>
  <c r="E77" i="3" s="1"/>
  <c r="N84" i="3" a="1"/>
  <c r="N84" i="3" s="1"/>
  <c r="N75" i="3" a="1"/>
  <c r="N75" i="3" s="1"/>
  <c r="N59" i="3" a="1"/>
  <c r="N59" i="3" s="1"/>
  <c r="N14" i="3" a="1"/>
  <c r="N14" i="3" s="1"/>
  <c r="F85" i="3" a="1"/>
  <c r="F85" i="3" s="1"/>
  <c r="M86" i="3" a="1"/>
  <c r="M86" i="3" s="1"/>
  <c r="M77" i="3" a="1"/>
  <c r="M77" i="3" s="1"/>
  <c r="M69" i="3" a="1"/>
  <c r="M69" i="3" s="1"/>
  <c r="M44" i="3" a="1"/>
  <c r="M44" i="3" s="1"/>
  <c r="M36" i="3" a="1"/>
  <c r="M36" i="3" s="1"/>
  <c r="E86" i="3" a="1"/>
  <c r="E86" i="3" s="1"/>
  <c r="N83" i="3" a="1"/>
  <c r="N83" i="3" s="1"/>
  <c r="N48" i="3" a="1"/>
  <c r="N48" i="3" s="1"/>
  <c r="F84" i="3" a="1"/>
  <c r="F84" i="3" s="1"/>
  <c r="E27" i="3" a="1"/>
  <c r="E27" i="3" s="1"/>
  <c r="N82" i="3" a="1"/>
  <c r="N82" i="3" s="1"/>
  <c r="N73" i="3" a="1"/>
  <c r="N73" i="3" s="1"/>
  <c r="N46" i="3" a="1"/>
  <c r="N46" i="3" s="1"/>
  <c r="N31" i="3" a="1"/>
  <c r="N31" i="3" s="1"/>
  <c r="N25" i="3" a="1"/>
  <c r="N25" i="3" s="1"/>
  <c r="F74" i="3" a="1"/>
  <c r="F74" i="3" s="1"/>
  <c r="E36" i="3" a="1"/>
  <c r="E36" i="3" s="1"/>
  <c r="N81" i="3" a="1"/>
  <c r="N81" i="3" s="1"/>
  <c r="N72" i="3" a="1"/>
  <c r="N72" i="3" s="1"/>
  <c r="N42" i="3" a="1"/>
  <c r="N42" i="3" s="1"/>
  <c r="N24" i="3" a="1"/>
  <c r="N24" i="3" s="1"/>
  <c r="F73" i="3" a="1"/>
  <c r="F73" i="3" s="1"/>
  <c r="S84" i="3" a="1"/>
  <c r="S84" i="3" s="1"/>
  <c r="E44" i="3" a="1"/>
  <c r="E44" i="3" s="1"/>
  <c r="J24" i="3" a="1"/>
  <c r="J24" i="3" s="1"/>
  <c r="N80" i="3" a="1"/>
  <c r="N80" i="3" s="1"/>
  <c r="N37" i="3" a="1"/>
  <c r="N37" i="3" s="1"/>
  <c r="F81" i="3" a="1"/>
  <c r="F81" i="3" s="1"/>
  <c r="F72" i="3" a="1"/>
  <c r="F72" i="3" s="1"/>
  <c r="N64" i="3" a="1"/>
  <c r="N64" i="3" s="1"/>
  <c r="N67" i="3" a="1"/>
  <c r="N67" i="3" s="1"/>
  <c r="N66" i="3" a="1"/>
  <c r="N66" i="3" s="1"/>
  <c r="N63" i="3" a="1"/>
  <c r="N63" i="3" s="1"/>
  <c r="N62" i="3" a="1"/>
  <c r="N62" i="3" s="1"/>
  <c r="N61" i="3" a="1"/>
  <c r="N61" i="3" s="1"/>
  <c r="N60" i="3" a="1"/>
  <c r="N60" i="3" s="1"/>
  <c r="N58" i="3" a="1"/>
  <c r="N58" i="3" s="1"/>
  <c r="N57" i="3" a="1"/>
  <c r="N57" i="3" s="1"/>
  <c r="N56" i="3" a="1"/>
  <c r="N56" i="3" s="1"/>
  <c r="N55" i="3" a="1"/>
  <c r="N55" i="3" s="1"/>
  <c r="N54" i="3" a="1"/>
  <c r="N54" i="3" s="1"/>
  <c r="N53" i="3" a="1"/>
  <c r="N53" i="3" s="1"/>
  <c r="N52" i="3" a="1"/>
  <c r="N52" i="3" s="1"/>
  <c r="N51" i="3" a="1"/>
  <c r="N51" i="3" s="1"/>
  <c r="S51" i="3" a="1"/>
  <c r="S51" i="3" s="1"/>
  <c r="N50" i="3" a="1"/>
  <c r="N50" i="3" s="1"/>
  <c r="N49" i="3" a="1"/>
  <c r="N49" i="3" s="1"/>
  <c r="S49" i="3" a="1"/>
  <c r="S49" i="3" s="1"/>
  <c r="N47" i="3" a="1"/>
  <c r="N47" i="3" s="1"/>
  <c r="N45" i="3" a="1"/>
  <c r="N45" i="3" s="1"/>
  <c r="N44" i="3" a="1"/>
  <c r="N44" i="3" s="1"/>
  <c r="N43" i="3" a="1"/>
  <c r="N43" i="3" s="1"/>
  <c r="N41" i="3" a="1"/>
  <c r="N41" i="3" s="1"/>
  <c r="S41" i="3" a="1"/>
  <c r="S41" i="3" s="1"/>
  <c r="N40" i="3" a="1"/>
  <c r="N40" i="3" s="1"/>
  <c r="N39" i="3" a="1"/>
  <c r="N39" i="3" s="1"/>
  <c r="N38" i="3" a="1"/>
  <c r="N38" i="3" s="1"/>
  <c r="N36" i="3" a="1"/>
  <c r="N36" i="3" s="1"/>
  <c r="C31" i="3"/>
  <c r="M31" i="3" a="1"/>
  <c r="M31" i="3" s="1"/>
  <c r="L31" i="3" a="1"/>
  <c r="L31" i="3" s="1"/>
  <c r="B33" i="9" s="1"/>
  <c r="L25" i="3" a="1"/>
  <c r="L25" i="3" s="1"/>
  <c r="B27" i="9" s="1"/>
  <c r="J31" i="3" a="1"/>
  <c r="J31" i="3" s="1"/>
  <c r="E31" i="3" a="1"/>
  <c r="E31" i="3" s="1"/>
  <c r="C24" i="3"/>
  <c r="L20" i="3" a="1"/>
  <c r="L20" i="3" s="1"/>
  <c r="B22" i="9" s="1"/>
  <c r="S32" i="3" a="1"/>
  <c r="S32" i="3" s="1"/>
  <c r="F63" i="3" a="1"/>
  <c r="F63" i="3" s="1"/>
  <c r="F55" i="3" a="1"/>
  <c r="F55" i="3" s="1"/>
  <c r="F47" i="3" a="1"/>
  <c r="F47" i="3" s="1"/>
  <c r="F30" i="3" a="1"/>
  <c r="F30" i="3" s="1"/>
  <c r="S45" i="3" a="1"/>
  <c r="S45" i="3" s="1"/>
  <c r="S37" i="3" a="1"/>
  <c r="S37" i="3" s="1"/>
  <c r="F62" i="3" a="1"/>
  <c r="F62" i="3" s="1"/>
  <c r="F54" i="3" a="1"/>
  <c r="F54" i="3" s="1"/>
  <c r="F46" i="3" a="1"/>
  <c r="F46" i="3" s="1"/>
  <c r="F38" i="3" a="1"/>
  <c r="F38" i="3" s="1"/>
  <c r="F29" i="3" a="1"/>
  <c r="F29" i="3" s="1"/>
  <c r="S60" i="3" a="1"/>
  <c r="S60" i="3" s="1"/>
  <c r="S44" i="3" a="1"/>
  <c r="S44" i="3" s="1"/>
  <c r="S36" i="3" a="1"/>
  <c r="S36" i="3" s="1"/>
  <c r="S19" i="3" a="1"/>
  <c r="S19" i="3" s="1"/>
  <c r="S59" i="3" a="1"/>
  <c r="S59" i="3" s="1"/>
  <c r="S35" i="3" a="1"/>
  <c r="S35" i="3" s="1"/>
  <c r="S26" i="3" a="1"/>
  <c r="S26" i="3" s="1"/>
  <c r="E19" i="3" a="1"/>
  <c r="E19" i="3" s="1"/>
  <c r="S66" i="3" a="1"/>
  <c r="S66" i="3" s="1"/>
  <c r="S58" i="3" a="1"/>
  <c r="S58" i="3" s="1"/>
  <c r="S34" i="3" a="1"/>
  <c r="S34" i="3" s="1"/>
  <c r="S20" i="3" a="1"/>
  <c r="S20" i="3" s="1"/>
  <c r="F58" i="3" a="1"/>
  <c r="F58" i="3" s="1"/>
  <c r="F50" i="3" a="1"/>
  <c r="F50" i="3" s="1"/>
  <c r="F34" i="3" a="1"/>
  <c r="F34" i="3" s="1"/>
  <c r="S56" i="3" a="1"/>
  <c r="S56" i="3" s="1"/>
  <c r="S25" i="3" a="1"/>
  <c r="S25" i="3" s="1"/>
  <c r="F25" i="3" a="1"/>
  <c r="F25" i="3" s="1"/>
  <c r="E21" i="3" a="1"/>
  <c r="E21" i="3" s="1"/>
  <c r="E20" i="3" a="1"/>
  <c r="E20" i="3" s="1"/>
  <c r="G83" i="7" l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l="1"/>
  <c r="G125" i="7" s="1"/>
  <c r="G127" i="7" s="1"/>
  <c r="G130" i="7" s="1"/>
  <c r="G133" i="7" s="1"/>
  <c r="G136" i="7" s="1"/>
  <c r="G139" i="7" s="1"/>
  <c r="G142" i="7" s="1"/>
  <c r="G145" i="7" s="1"/>
  <c r="G148" i="7" s="1"/>
  <c r="G151" i="7" s="1"/>
  <c r="G154" i="7" s="1"/>
  <c r="G157" i="7" s="1"/>
  <c r="G160" i="7" s="1"/>
  <c r="G163" i="7" s="1"/>
  <c r="G166" i="7" s="1"/>
  <c r="G169" i="7" s="1"/>
  <c r="G172" i="7" s="1"/>
  <c r="G175" i="7" s="1"/>
  <c r="G124" i="7"/>
  <c r="G181" i="7" l="1"/>
  <c r="G184" i="7" s="1"/>
  <c r="G187" i="7" s="1"/>
  <c r="G190" i="7" s="1"/>
  <c r="G193" i="7" s="1"/>
  <c r="G196" i="7" s="1"/>
  <c r="G199" i="7" s="1"/>
  <c r="G202" i="7" s="1"/>
  <c r="G205" i="7" s="1"/>
  <c r="G208" i="7" s="1"/>
  <c r="G211" i="7" s="1"/>
  <c r="G214" i="7" s="1"/>
  <c r="G217" i="7" s="1"/>
  <c r="G220" i="7" s="1"/>
  <c r="G223" i="7" s="1"/>
  <c r="G226" i="7" s="1"/>
  <c r="G229" i="7" s="1"/>
  <c r="G232" i="7" s="1"/>
  <c r="G235" i="7" s="1"/>
  <c r="G238" i="7" s="1"/>
  <c r="G178" i="7"/>
  <c r="G126" i="7"/>
  <c r="G129" i="7" s="1"/>
  <c r="G132" i="7" s="1"/>
  <c r="G135" i="7" s="1"/>
  <c r="G138" i="7" s="1"/>
  <c r="G141" i="7" s="1"/>
  <c r="G144" i="7" s="1"/>
  <c r="G147" i="7" s="1"/>
  <c r="G150" i="7" s="1"/>
  <c r="G153" i="7" s="1"/>
  <c r="G156" i="7" s="1"/>
  <c r="G159" i="7" s="1"/>
  <c r="G162" i="7" s="1"/>
  <c r="G165" i="7" s="1"/>
  <c r="G168" i="7" s="1"/>
  <c r="G171" i="7" s="1"/>
  <c r="G174" i="7" s="1"/>
  <c r="G177" i="7" s="1"/>
  <c r="G183" i="7" l="1"/>
  <c r="G186" i="7" s="1"/>
  <c r="G189" i="7" s="1"/>
  <c r="G192" i="7" s="1"/>
  <c r="G195" i="7" s="1"/>
  <c r="G198" i="7" s="1"/>
  <c r="G201" i="7" s="1"/>
  <c r="G204" i="7" s="1"/>
  <c r="G207" i="7" s="1"/>
  <c r="G210" i="7" s="1"/>
  <c r="G213" i="7" s="1"/>
  <c r="G216" i="7" s="1"/>
  <c r="G219" i="7" s="1"/>
  <c r="G222" i="7" s="1"/>
  <c r="G225" i="7" s="1"/>
  <c r="G228" i="7" s="1"/>
  <c r="G231" i="7" s="1"/>
  <c r="G234" i="7" s="1"/>
  <c r="G237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180" i="7"/>
  <c r="G128" i="7"/>
  <c r="G131" i="7" s="1"/>
  <c r="G134" i="7" s="1"/>
  <c r="G137" i="7" s="1"/>
  <c r="G140" i="7" s="1"/>
  <c r="G143" i="7" s="1"/>
  <c r="G146" i="7" s="1"/>
  <c r="G149" i="7" s="1"/>
  <c r="G152" i="7" s="1"/>
  <c r="G155" i="7" s="1"/>
  <c r="G158" i="7" s="1"/>
  <c r="G161" i="7" s="1"/>
  <c r="G164" i="7" s="1"/>
  <c r="G167" i="7" s="1"/>
  <c r="G170" i="7" s="1"/>
  <c r="G173" i="7" s="1"/>
  <c r="G176" i="7" s="1"/>
  <c r="G182" i="7" l="1"/>
  <c r="G185" i="7" s="1"/>
  <c r="G188" i="7" s="1"/>
  <c r="G191" i="7" s="1"/>
  <c r="G194" i="7" s="1"/>
  <c r="G197" i="7" s="1"/>
  <c r="G200" i="7" s="1"/>
  <c r="G203" i="7" s="1"/>
  <c r="G206" i="7" s="1"/>
  <c r="G209" i="7" s="1"/>
  <c r="G212" i="7" s="1"/>
  <c r="G215" i="7" s="1"/>
  <c r="G218" i="7" s="1"/>
  <c r="G221" i="7" s="1"/>
  <c r="G224" i="7" s="1"/>
  <c r="G227" i="7" s="1"/>
  <c r="G230" i="7" s="1"/>
  <c r="G233" i="7" s="1"/>
  <c r="G236" i="7" s="1"/>
  <c r="G239" i="7" s="1"/>
  <c r="G17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52" authorId="0" shapeId="0" xr:uid="{CFA0728F-E96A-44A0-B6E3-9826A339AF36}">
      <text>
        <r>
          <rPr>
            <b/>
            <sz val="9"/>
            <color rgb="FF000000"/>
            <rFont val="Tahoma"/>
            <family val="2"/>
          </rPr>
          <t>user:17/02/2026: prévoir la formation IMPROVAC pour le personnel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<sst xmlns="http://schemas.openxmlformats.org/spreadsheetml/2006/main" count="5155" uniqueCount="1664">
  <si>
    <t>prelevement_id</t>
  </si>
  <si>
    <t>date_prelevement  </t>
  </si>
  <si>
    <t>projet</t>
  </si>
  <si>
    <t>elevage</t>
  </si>
  <si>
    <t>elevage_type</t>
  </si>
  <si>
    <t>num_batiment</t>
  </si>
  <si>
    <t>adresse</t>
  </si>
  <si>
    <t>ile</t>
  </si>
  <si>
    <t>ville</t>
  </si>
  <si>
    <t>cp</t>
  </si>
  <si>
    <t>lat</t>
  </si>
  <si>
    <t>long</t>
  </si>
  <si>
    <t>contact</t>
  </si>
  <si>
    <t>telephone</t>
  </si>
  <si>
    <t> mail</t>
  </si>
  <si>
    <t>organisation</t>
  </si>
  <si>
    <t>remarques</t>
  </si>
  <si>
    <t>type_pvt</t>
  </si>
  <si>
    <t>nature_pvt</t>
  </si>
  <si>
    <t>hote</t>
  </si>
  <si>
    <t> sexe</t>
  </si>
  <si>
    <t>age</t>
  </si>
  <si>
    <t>lieu_de_vie </t>
  </si>
  <si>
    <t> contact_autre_animaux</t>
  </si>
  <si>
    <t>FK-001</t>
  </si>
  <si>
    <t>FK-002</t>
  </si>
  <si>
    <t>FK-003</t>
  </si>
  <si>
    <t>FK-004</t>
  </si>
  <si>
    <t>FK-005</t>
  </si>
  <si>
    <t>Pédichiffe</t>
  </si>
  <si>
    <t>cochette</t>
  </si>
  <si>
    <t>Ecouvillon</t>
  </si>
  <si>
    <t>charcutier</t>
  </si>
  <si>
    <t>Eco-antibio2</t>
  </si>
  <si>
    <t>code_eleveur</t>
  </si>
  <si>
    <t>Naisseur-engraisseur</t>
  </si>
  <si>
    <t>EARL LA TITOU FARM</t>
  </si>
  <si>
    <t>3 CHEMIN BOIS D HOSTO</t>
  </si>
  <si>
    <t>SAINT JOSEPH</t>
  </si>
  <si>
    <t>La réunion</t>
  </si>
  <si>
    <t>earl-latitoufarm@outlook.fr</t>
  </si>
  <si>
    <t>EARL BOIS DE SENTEUR</t>
  </si>
  <si>
    <t>18 CHEMIN DARDANELLE</t>
  </si>
  <si>
    <t>marieblandine.hoareau@gmail.com</t>
  </si>
  <si>
    <t>EARL CHEMIN GRAND PERE</t>
  </si>
  <si>
    <t>SAINT PIERRE</t>
  </si>
  <si>
    <t>HOARAU JONATHAN</t>
  </si>
  <si>
    <t>apostinalix430@gmail.com</t>
  </si>
  <si>
    <t>06 92 57 52 12</t>
  </si>
  <si>
    <t>LE TAMPON</t>
  </si>
  <si>
    <t xml:space="preserve">89 RUE FIDELIO ROBERT </t>
  </si>
  <si>
    <t>LE TAMPON/PLAINE DES CAFRES</t>
  </si>
  <si>
    <t>IPA</t>
  </si>
  <si>
    <t>APOSTIN ALIX MAXIMIN</t>
  </si>
  <si>
    <t>emsadon@outlook.com</t>
  </si>
  <si>
    <t>06 92 06 74 37</t>
  </si>
  <si>
    <t>LES TROIS BASSINS</t>
  </si>
  <si>
    <t>8 IMPASSE DES COMBAVAS</t>
  </si>
  <si>
    <t>TROIS BASSINS/ SAINT PAUL</t>
  </si>
  <si>
    <t>SADON EMMANUEL JEAN CHRISTOPHE</t>
  </si>
  <si>
    <t>06.92.76.57.54</t>
  </si>
  <si>
    <t>02.62.32.00.72</t>
  </si>
  <si>
    <t>LA POSSESSION</t>
  </si>
  <si>
    <t>97419</t>
  </si>
  <si>
    <t>DOS D'ANE</t>
  </si>
  <si>
    <t>17 RUE GERMAIN ELIZABETH</t>
  </si>
  <si>
    <t>I</t>
  </si>
  <si>
    <t>VEE JEAN-PIERRE (ex:NATIVEL ANTONY)</t>
  </si>
  <si>
    <t>bernardvatel@orange.fr</t>
  </si>
  <si>
    <t>06.92.22.81.80</t>
  </si>
  <si>
    <t>06.92.88.87.40</t>
  </si>
  <si>
    <t>02.62.38.08.09</t>
  </si>
  <si>
    <t>LES AVIRONS</t>
  </si>
  <si>
    <t>97425</t>
  </si>
  <si>
    <t/>
  </si>
  <si>
    <t>8 ROUTE DES VACOAS</t>
  </si>
  <si>
    <t>AVIRONS/ SAINT LEU</t>
  </si>
  <si>
    <t>C</t>
  </si>
  <si>
    <t>VATEL BERNARD</t>
  </si>
  <si>
    <t>06 93 81 36 37</t>
  </si>
  <si>
    <t>SAINT-PIERRE</t>
  </si>
  <si>
    <t>112 CHEMIN BOULAKI</t>
  </si>
  <si>
    <t>SAINT PIERRE / PETITE ILE</t>
  </si>
  <si>
    <t>TURPIN JEAN PATRICK</t>
  </si>
  <si>
    <t>06 92 56 04 61</t>
  </si>
  <si>
    <t>138 CHEMIN BOULAKI</t>
  </si>
  <si>
    <t>TURPIN DIMITRI</t>
  </si>
  <si>
    <t>06 93 60 25 20</t>
  </si>
  <si>
    <t>SAINT LOUIS</t>
  </si>
  <si>
    <t>L'ETANG</t>
  </si>
  <si>
    <t>22 BIS BD FRONT DE MER - L'ETANG</t>
  </si>
  <si>
    <t>ETANG SALE/SAINT LOUIS</t>
  </si>
  <si>
    <t>THERMIDOR SAMUEL</t>
  </si>
  <si>
    <t>06.92.08.06.77</t>
  </si>
  <si>
    <t>TROIS BASSINS</t>
  </si>
  <si>
    <t>97426</t>
  </si>
  <si>
    <t>72 ROUTE DES TAMARINS</t>
  </si>
  <si>
    <t>TECHER SEVERINE</t>
  </si>
  <si>
    <t>brice.talerien@gmail.com</t>
  </si>
  <si>
    <t>06 92 60 91 47</t>
  </si>
  <si>
    <t>272a ROUTE HUBERT DELISLE BELLEVUE</t>
  </si>
  <si>
    <t>TALERIEN JEAN BRICE</t>
  </si>
  <si>
    <t>turpinjimmy38@yahoo.fr</t>
  </si>
  <si>
    <t>06 92 62 65 12</t>
  </si>
  <si>
    <t>02 62 47 72 40</t>
  </si>
  <si>
    <t>SALAZIE</t>
  </si>
  <si>
    <t>GRAND ILET</t>
  </si>
  <si>
    <t>38 CHEMIN DE L EGLISE</t>
  </si>
  <si>
    <t>SCEA TURPIN (TURPIN JIMMY &amp; ERIC)</t>
  </si>
  <si>
    <t>06.92.86.28.32</t>
  </si>
  <si>
    <t>02.62.47.79.05</t>
  </si>
  <si>
    <t>97433</t>
  </si>
  <si>
    <t>ROUTE DEPT CD 52</t>
  </si>
  <si>
    <t>SCEA TURPIN (MAILLOT PIERRE MAXIMIN)</t>
  </si>
  <si>
    <t>rolandhoareau@hotmail.com</t>
  </si>
  <si>
    <t>06.92.08.12.60</t>
  </si>
  <si>
    <t>02.62.37.59.56</t>
  </si>
  <si>
    <t>CAROSSE</t>
  </si>
  <si>
    <t>4 CHEMIN DARDANELLE</t>
  </si>
  <si>
    <t>SCEA MINMIN</t>
  </si>
  <si>
    <t>scea.les.bananiers@gmail.com</t>
  </si>
  <si>
    <t>06.92.66.79.15</t>
  </si>
  <si>
    <t>02.62.37.67.88</t>
  </si>
  <si>
    <t>M</t>
  </si>
  <si>
    <t>22 RUE JEAN DE CAMBIAIRE</t>
  </si>
  <si>
    <t xml:space="preserve">SCEA LES BANANIERS </t>
  </si>
  <si>
    <t>jacqueline97480@gmail.com</t>
  </si>
  <si>
    <t>06.92.66.41.50.</t>
  </si>
  <si>
    <t>02.62.37.52.59</t>
  </si>
  <si>
    <t>97480</t>
  </si>
  <si>
    <t>LA CRETE - 2ieme VILLAGE</t>
  </si>
  <si>
    <t>30 CHEMIN DES CAILLES</t>
  </si>
  <si>
    <t>SCEA LE ZAMBRESADE                  Naissage à la Crête</t>
  </si>
  <si>
    <t>SCEA LE ZAMBRESADE                   Engraissement au Carosse</t>
  </si>
  <si>
    <t>guillaume_sellier@hotmail.fr</t>
  </si>
  <si>
    <t>06.92.67.88.62</t>
  </si>
  <si>
    <t>02.62.51.01.47</t>
  </si>
  <si>
    <t>SAINTE ANNE</t>
  </si>
  <si>
    <t>97437</t>
  </si>
  <si>
    <t>97 CHEMIN CAP</t>
  </si>
  <si>
    <t>PLAINE DES PALMISTES/ SAINTE ANNE</t>
  </si>
  <si>
    <t>SCEA LE DOMAINE DE MELOSIE                            (EX SELLIER JEAN MARIE)</t>
  </si>
  <si>
    <t>nifolio@gmail.com</t>
  </si>
  <si>
    <t>06.92.20.70.56</t>
  </si>
  <si>
    <t>02.62.37.53.99</t>
  </si>
  <si>
    <t>48 RUE BORY DE SAINT VINCENT</t>
  </si>
  <si>
    <t>SCEA FOLIO</t>
  </si>
  <si>
    <t>06.92.52.45.24</t>
  </si>
  <si>
    <t>02.62.34.30.61</t>
  </si>
  <si>
    <t>PITON SAINT LEU</t>
  </si>
  <si>
    <t>155 RUE ADRIEN LAGOURGUE</t>
  </si>
  <si>
    <t>SCEA FERME DU PLATEAU</t>
  </si>
  <si>
    <t>thomas.lebot974@gmail.com</t>
  </si>
  <si>
    <t>06.92.67.59.09</t>
  </si>
  <si>
    <t>BRAS PANON</t>
  </si>
  <si>
    <t>PROPRIETE COQUELIN                  114 CHEMIN BRAS PETARD</t>
  </si>
  <si>
    <t>SAINT ANDRE / SAINT BENOIT</t>
  </si>
  <si>
    <t>SCEA FERME DE LA CAROLINE</t>
  </si>
  <si>
    <t>lallemand431olivier@gmail.com</t>
  </si>
  <si>
    <t>06 92 16 99 45</t>
  </si>
  <si>
    <t>02 62 37 17 59</t>
  </si>
  <si>
    <t>PLAINE DES PALMISTES</t>
  </si>
  <si>
    <t>PETITE PLAINE</t>
  </si>
  <si>
    <t>51 RUE LUC BOYER - PETITE PLAINE</t>
  </si>
  <si>
    <t>SCEA ELEVAGE LALLEMAND</t>
  </si>
  <si>
    <t>sceadugite@orange.fr</t>
  </si>
  <si>
    <t>06.92.68.09.56</t>
  </si>
  <si>
    <t>02.62.24.14.53</t>
  </si>
  <si>
    <t>97410</t>
  </si>
  <si>
    <t>MONT VERT LES HAUTS</t>
  </si>
  <si>
    <t>191 ROUTE DU GITE</t>
  </si>
  <si>
    <t>SCEA DU GITE</t>
  </si>
  <si>
    <t>06.92.23.96.16</t>
  </si>
  <si>
    <t>02.62.56.73.25</t>
  </si>
  <si>
    <t>PETITE ILE</t>
  </si>
  <si>
    <t>97429</t>
  </si>
  <si>
    <t>DOMAINE DU RELAIS</t>
  </si>
  <si>
    <t>98 CHEMIN LEOPOLD LEBON</t>
  </si>
  <si>
    <t>SCEA DES GOYAVIERS</t>
  </si>
  <si>
    <t>06.92.66.09.63</t>
  </si>
  <si>
    <t>02.62.31.00.58</t>
  </si>
  <si>
    <t>TERRE ROUGE</t>
  </si>
  <si>
    <t>15 CHEMIN CANAS</t>
  </si>
  <si>
    <t>SCEA DES CANAS</t>
  </si>
  <si>
    <t>sceapteplaine@orange.fr</t>
  </si>
  <si>
    <t>SAINT ANDRE</t>
  </si>
  <si>
    <t>1561 CHEMIN LAGOURGUE</t>
  </si>
  <si>
    <t>SCEA DE LA PETITE PLAINE Site de Saint André</t>
  </si>
  <si>
    <t>hoaraulaurent21@gmail.com</t>
  </si>
  <si>
    <t>SCEA DE LA PETITE PLAINE Site de la Plaine Des Palmistes</t>
  </si>
  <si>
    <t>grondinannegaelle3@gmail.com</t>
  </si>
  <si>
    <t>06.92.21.11.86</t>
  </si>
  <si>
    <t>LA RIVIERE SAINT LOUIS</t>
  </si>
  <si>
    <t>97421</t>
  </si>
  <si>
    <t>TAPAGE</t>
  </si>
  <si>
    <t>12 i LIGNE CHEVALIER</t>
  </si>
  <si>
    <t>SCEA AMELIA (ex:EARL AMELIA)</t>
  </si>
  <si>
    <t>06 92 04 47 82</t>
  </si>
  <si>
    <t>11 RUE VALMY - L'ETANG</t>
  </si>
  <si>
    <t>SARL THERMIDOR (JEAN IDO)</t>
  </si>
  <si>
    <t>wendy.clain@royalbourbon.com jldurand31@gmail.com  dmoreau@royalbourbon.com</t>
  </si>
  <si>
    <t>06.92.67.79.19</t>
  </si>
  <si>
    <t>02.62.50.38.18</t>
  </si>
  <si>
    <t>SAP (Ex SCAP)</t>
  </si>
  <si>
    <t>nathan.pothin@rsmar.re</t>
  </si>
  <si>
    <t>06 92 77 89 45</t>
  </si>
  <si>
    <t>LA PLAINE DES CAFRES</t>
  </si>
  <si>
    <t>RUE ALFRED LACROIX</t>
  </si>
  <si>
    <t>RSMA</t>
  </si>
  <si>
    <t>22 CHEMIN DU STADE - CASABOIS - GRAND ILET</t>
  </si>
  <si>
    <t>ROBERT VALENTIN VERONIQUE</t>
  </si>
  <si>
    <t>henri.robert@izi.re</t>
  </si>
  <si>
    <t>06.92.22.85.70</t>
  </si>
  <si>
    <t>02.62.37.52.37</t>
  </si>
  <si>
    <t>17 CHEMIN DES GLYCINES</t>
  </si>
  <si>
    <t>ROBERT HENRI</t>
  </si>
  <si>
    <t>samyan.rene@gmail.com</t>
  </si>
  <si>
    <t>06.92.63.99.70</t>
  </si>
  <si>
    <t>02.62.24.15.02</t>
  </si>
  <si>
    <t>SAINT LEU</t>
  </si>
  <si>
    <t>231 CHEMIN DE LA SURPRISE</t>
  </si>
  <si>
    <t>RENE YANNICK</t>
  </si>
  <si>
    <t>06.92.74.15.68</t>
  </si>
  <si>
    <t>02.62.94.39.91</t>
  </si>
  <si>
    <t>VINCENDO</t>
  </si>
  <si>
    <t>CHEMIN DES GINGEMBRES</t>
  </si>
  <si>
    <t>PICARD CHRISTIAN</t>
  </si>
  <si>
    <t>frederic.picard974@orange.fr</t>
  </si>
  <si>
    <t>06.92.45.21.29</t>
  </si>
  <si>
    <t>02.62.35.02.60</t>
  </si>
  <si>
    <t>BASSIN PLAT</t>
  </si>
  <si>
    <t>6 ALLEE DES HORTENSIAS</t>
  </si>
  <si>
    <t>PICARD ALAIN FREDERIC (EX PICARD PHILLIPE)</t>
  </si>
  <si>
    <t>06.92.61.49.45</t>
  </si>
  <si>
    <t>SAINTE SUZANNE</t>
  </si>
  <si>
    <t>97441</t>
  </si>
  <si>
    <t>4 CHEMIN DES ZAMBRESADES</t>
  </si>
  <si>
    <t>PERSEE JEAN DANIEL (EX COMBATADIN FRANKLIN)</t>
  </si>
  <si>
    <t>06 92 33 97 47</t>
  </si>
  <si>
    <t>SAINT PHILIPPE</t>
  </si>
  <si>
    <t>69. RAVINE ANGO SAINT PHILIPPE</t>
  </si>
  <si>
    <t>PAYET STEPHANE</t>
  </si>
  <si>
    <t>06.92.63.19.76 (ludovic)</t>
  </si>
  <si>
    <t>06.92.68.67.35</t>
  </si>
  <si>
    <t>PLAINE DES CAFRES</t>
  </si>
  <si>
    <t>232 ROUTE DU PITON BLEU</t>
  </si>
  <si>
    <t>PAUSE SYLVIANNE (EX EARL PITON D'ANCHAING  - SITE GRAND ILET)</t>
  </si>
  <si>
    <t>erika.pausemarka@gmail.com</t>
  </si>
  <si>
    <t>06.92.64.28.98</t>
  </si>
  <si>
    <t>02.62.24.73.87</t>
  </si>
  <si>
    <t>274 CHEMIN MAROCAIN</t>
  </si>
  <si>
    <t>PAUSE ERIKA</t>
  </si>
  <si>
    <t>06.92.18.97.71</t>
  </si>
  <si>
    <t>02.62.37.55.52</t>
  </si>
  <si>
    <t>LES LIANES</t>
  </si>
  <si>
    <t>22 RUE JULES HOAREAU</t>
  </si>
  <si>
    <t>NATIVEL DENISE</t>
  </si>
  <si>
    <t>97430</t>
  </si>
  <si>
    <t>191 CHEMIN ALBERT HIBON</t>
  </si>
  <si>
    <t>MONDON LAURENCE
(PLAINE DES CAFRES)</t>
  </si>
  <si>
    <t>06.92.77.03.10</t>
  </si>
  <si>
    <t>02.62.47.20.34</t>
  </si>
  <si>
    <t>MONDON LAURENCE (17EME EX: MONDON ARY)</t>
  </si>
  <si>
    <t>eymard2010@hotmail.fr</t>
  </si>
  <si>
    <t>06.92.77.68.18</t>
  </si>
  <si>
    <t>02.62.57.67.89</t>
  </si>
  <si>
    <t>147 RUE PAUL VERLAINE</t>
  </si>
  <si>
    <t>MERLO MARIE PAULE ex EYMARD MICHEL</t>
  </si>
  <si>
    <t>maillot.yves@gmail.com</t>
  </si>
  <si>
    <t>06.92.72.86.88</t>
  </si>
  <si>
    <t>02.62.51.12.14</t>
  </si>
  <si>
    <t>CAMBOURG</t>
  </si>
  <si>
    <t>305 PITON ARMAND LES HAUTS</t>
  </si>
  <si>
    <t>MAILLOT YVES ANDRE</t>
  </si>
  <si>
    <t>pmaillot1974@gmail.com</t>
  </si>
  <si>
    <t>06.92.76.25.54</t>
  </si>
  <si>
    <t>02 62 47 70 58</t>
  </si>
  <si>
    <t xml:space="preserve">16  CHEMIN DU STADE </t>
  </si>
  <si>
    <t>MAILLOT PATRICK( EX MAILLOT GHISLAINE)</t>
  </si>
  <si>
    <t>daniel-andre.maillot@orange.fr</t>
  </si>
  <si>
    <t>06 92 90 31 57</t>
  </si>
  <si>
    <t>02 62 47 73 25</t>
  </si>
  <si>
    <t>18 CHEMIN DE L'EGLIE SAINT MARTIN</t>
  </si>
  <si>
    <t>MAILLOT DANIEL ANDRE Ex MAILLOT AYMERIC</t>
  </si>
  <si>
    <t>maximinlioni@gmail.com</t>
  </si>
  <si>
    <t>06.92.24.79.67</t>
  </si>
  <si>
    <t>LA RIVIERE</t>
  </si>
  <si>
    <t>57 BIS RUE JULIETTE DODU</t>
  </si>
  <si>
    <t>LIONI MAXIMIN</t>
  </si>
  <si>
    <t>06 92 69 91 32</t>
  </si>
  <si>
    <t>SAINT-LEU</t>
  </si>
  <si>
    <t>65 rue Georges Pompidou</t>
  </si>
  <si>
    <t xml:space="preserve">LIANG LANG HU JULIEN </t>
  </si>
  <si>
    <t>yannicklegros@yahoo.fr</t>
  </si>
  <si>
    <t>06.92.48.98.58</t>
  </si>
  <si>
    <t>06.92.69.91.33</t>
  </si>
  <si>
    <t>02.62.51.05.71</t>
  </si>
  <si>
    <t>PETIT SAINT PIERRE</t>
  </si>
  <si>
    <t>79 CHEMIN GAILLAS LES BAS</t>
  </si>
  <si>
    <t>LEGROS YANNICK</t>
  </si>
  <si>
    <t>legros.therese32@gmail.com</t>
  </si>
  <si>
    <t>06 92 60 45 51</t>
  </si>
  <si>
    <t>02 62 51 02 28</t>
  </si>
  <si>
    <t>LES ORANGERS</t>
  </si>
  <si>
    <t>54 CH BASSIN BLEU PETIT ST PIERRE</t>
  </si>
  <si>
    <t>LEGROS JEAN HUGUES (ex Hoarau Michel)</t>
  </si>
  <si>
    <t>ludovic.lauret1@gmail.com</t>
  </si>
  <si>
    <t>06.92.45.36.60</t>
  </si>
  <si>
    <t>MONTVERT LES HAUTS</t>
  </si>
  <si>
    <t>60 ROUTE DU SITE TERRE DES CHENES</t>
  </si>
  <si>
    <t>LAURET LUDOVIC (ex Hebert Fabrice)</t>
  </si>
  <si>
    <t>06.92.60.64.69</t>
  </si>
  <si>
    <t>02.62.31.08.46</t>
  </si>
  <si>
    <t>CHEMIN BOISSY - TERRE ROUGE</t>
  </si>
  <si>
    <t>16 ALLEE DES CANAS</t>
  </si>
  <si>
    <t>L'AUBERGE D'ALAIN ET BRIGITTE (ex: SELLY ALAIN)</t>
  </si>
  <si>
    <t>06 92 55 47 17</t>
  </si>
  <si>
    <t>18 ROUTE DE PITON BLEU</t>
  </si>
  <si>
    <t>LA FERME OTENTIK (Dossier éleveur dans NAC/Parcs Animaliers)</t>
  </si>
  <si>
    <t>caroline.navarrete@educagri.fr</t>
  </si>
  <si>
    <t>06.92.74.17.68</t>
  </si>
  <si>
    <t>02.62.56.50.40</t>
  </si>
  <si>
    <t>LES GREGUES</t>
  </si>
  <si>
    <t>L.E.P.A.</t>
  </si>
  <si>
    <t>kbidistephane974@gmail.com</t>
  </si>
  <si>
    <t>06 93 13 39 11</t>
  </si>
  <si>
    <t>K'BIDY STEPHANE</t>
  </si>
  <si>
    <t>juli.olivier000@gmail.com</t>
  </si>
  <si>
    <t>06.92.52.75.61</t>
  </si>
  <si>
    <t>02.62.38.07.17</t>
  </si>
  <si>
    <t>97424</t>
  </si>
  <si>
    <t>39 bis CHEMIN BOUSSOLE</t>
  </si>
  <si>
    <t>JULIE OLIVIER</t>
  </si>
  <si>
    <t>0692 41 81 78</t>
  </si>
  <si>
    <t>02.62.37.40.02</t>
  </si>
  <si>
    <t>274 RUE CLAUDE MARION</t>
  </si>
  <si>
    <t>HUET MARIE-HELENE</t>
  </si>
  <si>
    <t>johnnyhoareau778@gmail.com</t>
  </si>
  <si>
    <t>06.92.88.00.82</t>
  </si>
  <si>
    <t>BEZAVES - CAROSSE</t>
  </si>
  <si>
    <t>45 RUE LEON JEANNETTE</t>
  </si>
  <si>
    <t>HOAREAU JOHNY (ex Hoareau Marie Anise)</t>
  </si>
  <si>
    <t>mussardpatrick.pm@gmail.com</t>
  </si>
  <si>
    <t>06.92.38.17.99</t>
  </si>
  <si>
    <t>PK 7 JEAN PETIT</t>
  </si>
  <si>
    <t>35 CHEMIN BENITIERS</t>
  </si>
  <si>
    <t>HOAREAU FRANCK (ex: MUSSARD PATRICK)</t>
  </si>
  <si>
    <t>alexandre.hoareaubtspa@gmail.com</t>
  </si>
  <si>
    <t>06.92.66.35.94 (JP)</t>
  </si>
  <si>
    <t xml:space="preserve">06.92.82.18.09 </t>
  </si>
  <si>
    <t>02.62.37.51.98</t>
  </si>
  <si>
    <t>47 CHEMIN DES ALOUETTES</t>
  </si>
  <si>
    <t xml:space="preserve">HOAREAU ALEXANDRE (ex: HOAREAU JEAN PIERRE) </t>
  </si>
  <si>
    <t>nathan490001@gmail.com</t>
  </si>
  <si>
    <t>06 93 03 42 90</t>
  </si>
  <si>
    <t>256 CHEMIN GRAND PÈRE</t>
  </si>
  <si>
    <t>elodievivienne.grondin@gmail.com</t>
  </si>
  <si>
    <t>06 92 39 04 46</t>
  </si>
  <si>
    <t>02 62 46 24 78</t>
  </si>
  <si>
    <t>356 CH VALENTIN</t>
  </si>
  <si>
    <t>GRONDIN MARIE JOSIE REPROS ST ANDRE (Ex : GRONDIN MATHIAS)</t>
  </si>
  <si>
    <t>356 CHEMIN VALENTIN</t>
  </si>
  <si>
    <t>GRONDIN MARIE JOSIE ENGRAISSEMENT GI (EX: GRONDIN MATHIAS)</t>
  </si>
  <si>
    <t>06.92.86.63.05</t>
  </si>
  <si>
    <t>02.62.47.73.37</t>
  </si>
  <si>
    <t>5 IMPASSE DES ABEILLES</t>
  </si>
  <si>
    <t>GRONDIN JOSE MARTIN</t>
  </si>
  <si>
    <t>jeannickgrondin70@gmail.com</t>
  </si>
  <si>
    <t>06.92.88.93.03</t>
  </si>
  <si>
    <t>02.62.56.33.56</t>
  </si>
  <si>
    <t>106 RUE DES JACQUES</t>
  </si>
  <si>
    <t>GRONDIN JEANNICK</t>
  </si>
  <si>
    <t>grondinjohan974@gmail.com</t>
  </si>
  <si>
    <t>06.92.36.51.74</t>
  </si>
  <si>
    <t>LES JACQUES</t>
  </si>
  <si>
    <t>19 RUE DES OIGNONS</t>
  </si>
  <si>
    <t>GRONDIN JEAN PHILIPPE</t>
  </si>
  <si>
    <t>06.92.69.31.77</t>
  </si>
  <si>
    <t>02.62.47.73.97</t>
  </si>
  <si>
    <t>12 CHEMIN SOLESSE</t>
  </si>
  <si>
    <t>GRONDIN GERARD JOSEPH</t>
  </si>
  <si>
    <t>06.92.32.93.13</t>
  </si>
  <si>
    <t>02.62.56.74.65</t>
  </si>
  <si>
    <t>MANAPANY LES HAUTS</t>
  </si>
  <si>
    <t>13 ALLEE DES BAIES ROSES</t>
  </si>
  <si>
    <t>GRONDIN CLAUDE ANDRE</t>
  </si>
  <si>
    <t>alin.gourou@gmail.com</t>
  </si>
  <si>
    <t>06.92.60.11.83 (Alexandre)</t>
  </si>
  <si>
    <t>06.92.03.01.51</t>
  </si>
  <si>
    <t>02.62.25.18.45</t>
  </si>
  <si>
    <t>PIERREFONDS</t>
  </si>
  <si>
    <t>19 ALLEE DES CEDRES</t>
  </si>
  <si>
    <t>GOUROUVADOU ALIN</t>
  </si>
  <si>
    <t>bmussard@wanadoo.fr</t>
  </si>
  <si>
    <t>06.92.86.87.07 charles</t>
  </si>
  <si>
    <t>06.92.86.87.09 bertrand</t>
  </si>
  <si>
    <t>02.62.56.51.42</t>
  </si>
  <si>
    <t>PITON NOIR</t>
  </si>
  <si>
    <t>11 IMPASSE BIGARADE</t>
  </si>
  <si>
    <t>GAEC PORCELETS DU SUD (Mussard)</t>
  </si>
  <si>
    <t>06.92.61.61.99</t>
  </si>
  <si>
    <t>02.62.25.85.16</t>
  </si>
  <si>
    <t>80 ALLEE DES AUBEPINES</t>
  </si>
  <si>
    <t>GAEC DU BASSIN PLAT</t>
  </si>
  <si>
    <t>familletrovalet@yahoo.com</t>
  </si>
  <si>
    <t>06.92.67.69.29</t>
  </si>
  <si>
    <t>GAEC DES GRANDES NATTES (TROVALET)</t>
  </si>
  <si>
    <t>06 92 27 52 61</t>
  </si>
  <si>
    <t>RAVINE DES CABRIS</t>
  </si>
  <si>
    <t>85 RUE DES FLAMBOYANTS -LIGNE DES 400</t>
  </si>
  <si>
    <t>FIRMINY VIRGINIE</t>
  </si>
  <si>
    <t>06 92 71 11 47</t>
  </si>
  <si>
    <t>ETANG</t>
  </si>
  <si>
    <t xml:space="preserve">81 RUE DES PAMPLEMOUSSES </t>
  </si>
  <si>
    <t>FELICITE JOHAN</t>
  </si>
  <si>
    <t>ejenlevement@gmail.com</t>
  </si>
  <si>
    <t>06.92.86.55.23</t>
  </si>
  <si>
    <t>558 ROUTE DEPARTEMENTALE 52</t>
  </si>
  <si>
    <t>ELISABETH JULIEN</t>
  </si>
  <si>
    <t>boyer.annylene@orange.fr</t>
  </si>
  <si>
    <t>06 92 76 82 39</t>
  </si>
  <si>
    <t>06 92 24 84 39</t>
  </si>
  <si>
    <t>99 ROUTE DE MARRE A GOYAVES</t>
  </si>
  <si>
    <t>ND</t>
  </si>
  <si>
    <t>ELISABETH FREDERIC</t>
  </si>
  <si>
    <t>marietherese.ahvane@sfr.fr</t>
  </si>
  <si>
    <t xml:space="preserve">06 92 37 76 70 </t>
  </si>
  <si>
    <t>5. CHEMIN TAN ROUGE LE PLATE</t>
  </si>
  <si>
    <t>EARL TOUT LE BON (ex:LE BORGNE THIERRY)</t>
  </si>
  <si>
    <t>slvpicard@gmail.com</t>
  </si>
  <si>
    <t>06.92.32.59.46</t>
  </si>
  <si>
    <t>409 CHEMIN PETIT TAMPON</t>
  </si>
  <si>
    <t>PICARD JEAN DANIEL</t>
  </si>
  <si>
    <t>EARL TERRAIN FLEURY</t>
  </si>
  <si>
    <t>societedutanrouge@gmail.com</t>
  </si>
  <si>
    <t>06.92.86.99.48</t>
  </si>
  <si>
    <t>02.62.32.72.82</t>
  </si>
  <si>
    <t>LA SALINE LES HAUTS</t>
  </si>
  <si>
    <t>97422</t>
  </si>
  <si>
    <t>52 CD 6 CHEMIN D EAU</t>
  </si>
  <si>
    <t>EARL SOCIETE DU TAN ROUGE</t>
  </si>
  <si>
    <t>barzoliv974@gmail.com</t>
  </si>
  <si>
    <t>06.92.76.70.43</t>
  </si>
  <si>
    <t>02.62.56.86.39</t>
  </si>
  <si>
    <t>az</t>
  </si>
  <si>
    <t>EARL RAVINE DU PONT LES BAS</t>
  </si>
  <si>
    <t>06.92.53.00.19</t>
  </si>
  <si>
    <t>02.62.56.61.94</t>
  </si>
  <si>
    <t>5 RUE DES OLIVIERS</t>
  </si>
  <si>
    <t>EARL PSF LES OLIVIERS /MALET PHILIPPE</t>
  </si>
  <si>
    <t>EARL PITON D'ANCHAING (EX PAUSE SYLVIANNE) - SITE PLAINE DES CAFRES</t>
  </si>
  <si>
    <t>fontaine.gerard.saveurs@gmail.com</t>
  </si>
  <si>
    <t>06 92 85 46 68</t>
  </si>
  <si>
    <t>97431</t>
  </si>
  <si>
    <t>GRAND TAMPON</t>
  </si>
  <si>
    <t>25 CHEMIN BOIS DES REMPARTS</t>
  </si>
  <si>
    <t>EARL PANORAMIC</t>
  </si>
  <si>
    <t>olivier.chamand@orange.fr</t>
  </si>
  <si>
    <t>06 92 50 55 40</t>
  </si>
  <si>
    <t>PITON SAINTE ROSE</t>
  </si>
  <si>
    <t>468 RN2</t>
  </si>
  <si>
    <t>EARL OLIVIER ET MANUELLA</t>
  </si>
  <si>
    <t>sceappg974@yahoo.fr</t>
  </si>
  <si>
    <t>06.92.60.43.64</t>
  </si>
  <si>
    <t>02.62.23.30.28</t>
  </si>
  <si>
    <t>17 CHEMIN BOIS DES REMPARTS</t>
  </si>
  <si>
    <t>EARL NOTRE DAME DE LA PAIX REPROS LE TAMPON</t>
  </si>
  <si>
    <t>06.92.85.46.67</t>
  </si>
  <si>
    <t>EARL NOTRE DAME DE LA PAIX ENGRAISSEMENT CAROSSE</t>
  </si>
  <si>
    <t>earl.nidnorg@orange.fr</t>
  </si>
  <si>
    <t>06.92.65.32.06</t>
  </si>
  <si>
    <t>02.62.32.85.64</t>
  </si>
  <si>
    <t>SAINT GILLES LES HAUTS</t>
  </si>
  <si>
    <t>97435</t>
  </si>
  <si>
    <t>TAN ROUGE</t>
  </si>
  <si>
    <t>68 CHEMIN AUBERVAL</t>
  </si>
  <si>
    <t xml:space="preserve">EARL NIDNORG (GRONDIN LUDOVIC) </t>
  </si>
  <si>
    <t>06.92.67.59.74</t>
  </si>
  <si>
    <t>02.62.46.12.79</t>
  </si>
  <si>
    <t>97440</t>
  </si>
  <si>
    <t>RAVINE CREUSE</t>
  </si>
  <si>
    <t>528 CHEMIN CANAL MOREAU</t>
  </si>
  <si>
    <t>EARL MOUNIAMA ET FILLE</t>
  </si>
  <si>
    <t>gonthierbearl@gmail.com</t>
  </si>
  <si>
    <t>06.92.26.96.96</t>
  </si>
  <si>
    <t>02.62.31.60.89</t>
  </si>
  <si>
    <t>3 RUE ADENOR PAYET</t>
  </si>
  <si>
    <t>EARL MEZINO GONTHIER / Petite Ile</t>
  </si>
  <si>
    <t>james.hoareau@wanadoo.fr</t>
  </si>
  <si>
    <t>06.92.85.16.54</t>
  </si>
  <si>
    <t>02.62.31.54.71</t>
  </si>
  <si>
    <t>JEAN PETIT - KM8</t>
  </si>
  <si>
    <t>51 CHEMIN BENITIER</t>
  </si>
  <si>
    <t>EARL LON-GOZ (ex HOAREAU JAMES)</t>
  </si>
  <si>
    <t>florian97450@gmail.com</t>
  </si>
  <si>
    <t>06 92 67 73 93 (Florian Nicol)</t>
  </si>
  <si>
    <t>02.62.38.17.48</t>
  </si>
  <si>
    <t>TEVELAVE</t>
  </si>
  <si>
    <t>25C CHEMIN MAURER</t>
  </si>
  <si>
    <t>EARL LES TROIS PETITS COCHONS (EX:HOAREAU GEORGES MARIE)</t>
  </si>
  <si>
    <t>06.92.88.41.07</t>
  </si>
  <si>
    <t>02.62.56.73.60</t>
  </si>
  <si>
    <t>19 ALLEE DES BAIES ROSES</t>
  </si>
  <si>
    <t>EARL LES TANGORS (ex Grondin Georget)</t>
  </si>
  <si>
    <t>ludovic.lauret411@gmail.com</t>
  </si>
  <si>
    <t>06 92 15 54 37</t>
  </si>
  <si>
    <t>02 62 19 97 97</t>
  </si>
  <si>
    <t>BOIS DE NEFLES ST PAUL</t>
  </si>
  <si>
    <t>97411</t>
  </si>
  <si>
    <t>LOTISSEMENT SAFER</t>
  </si>
  <si>
    <t>205 CHEMIN MARTYR</t>
  </si>
  <si>
    <t>EARL LES LILAS ex LAURET PIERRE ROBERT</t>
  </si>
  <si>
    <t>foxocloclo974@gmail.com</t>
  </si>
  <si>
    <t>06.92.88.44.73</t>
  </si>
  <si>
    <t>02.62.34.30.04</t>
  </si>
  <si>
    <t>18 ALLEE DES LETCHIS</t>
  </si>
  <si>
    <t>EARL LES LETCHIS</t>
  </si>
  <si>
    <t>contact.leshortensias@gmail.com</t>
  </si>
  <si>
    <t>06 92 09 25 17</t>
  </si>
  <si>
    <t>02.62.37.45.89</t>
  </si>
  <si>
    <t>11 RUE CLAUDE MARION</t>
  </si>
  <si>
    <t>EARL LES HORTENSIAS (Ex:EARL LES IMPATIENS 
TURPIN JEAN REMY)</t>
  </si>
  <si>
    <t>earl.lesgenets@yahoo.com</t>
  </si>
  <si>
    <t>06.92.69.12.47</t>
  </si>
  <si>
    <t>90 RUE LESQUELIN</t>
  </si>
  <si>
    <t>EARL LES GENETS Ex FOLIO YANNIS</t>
  </si>
  <si>
    <t>rdn26@wanadoo.fr</t>
  </si>
  <si>
    <t>06.92.64.70.16</t>
  </si>
  <si>
    <t>02.62.91.75.11</t>
  </si>
  <si>
    <t>GOL LES HAUTS</t>
  </si>
  <si>
    <t>26 CHEMIN GRAND FOND</t>
  </si>
  <si>
    <t>EARL LES FRANCISCEAS (ex RIVIERE JEAN LOUIS)</t>
  </si>
  <si>
    <t>gonthiea@gmail.com</t>
  </si>
  <si>
    <t>61A RUE MONTPLAISIR</t>
  </si>
  <si>
    <t>EARL LES FLEURS JAUNES</t>
  </si>
  <si>
    <t>ani.riviere@hotmail.fr</t>
  </si>
  <si>
    <t>06.92.61.56.54</t>
  </si>
  <si>
    <t>02.62.38.32.14</t>
  </si>
  <si>
    <t>6 TERRASSE DE BOIS DE NEFLES</t>
  </si>
  <si>
    <t>EARL LES CAPUCINES EX RIVIERE GINETTE MARIE ROLAND</t>
  </si>
  <si>
    <t>earl.lescalumets@sfr.fr</t>
  </si>
  <si>
    <t>06.92.91.09.75</t>
  </si>
  <si>
    <t>02.62.24.77.75</t>
  </si>
  <si>
    <t>201 CHEMIN MAROCAIN</t>
  </si>
  <si>
    <t>EARL LES CALUMETS (NOURRY aldo)</t>
  </si>
  <si>
    <t>maletsuzie@gmail.com</t>
  </si>
  <si>
    <t>06.92.60.47.16</t>
  </si>
  <si>
    <t>06.92.68.60.23</t>
  </si>
  <si>
    <t>02.62.56.25.75</t>
  </si>
  <si>
    <t>9 RUE DES OLIVIERS</t>
  </si>
  <si>
    <t>EARL LES BIGNONIAS (EX MALET JEAN BERNARD)</t>
  </si>
  <si>
    <t>06.92.07.40.10</t>
  </si>
  <si>
    <t>02.62.37.42.18</t>
  </si>
  <si>
    <t>LA CRETE - 1er VILLAGE</t>
  </si>
  <si>
    <t>58 CHEMIN MOUTOUSSAMY</t>
  </si>
  <si>
    <t>EARL LES BAMBOUS Site Naissage</t>
  </si>
  <si>
    <t>fred97480@hotmail.fr</t>
  </si>
  <si>
    <t>EARL LES BAMBOUS Site Engraissement</t>
  </si>
  <si>
    <t>desileslinda@gmail.com</t>
  </si>
  <si>
    <t xml:space="preserve"> </t>
  </si>
  <si>
    <t>02.62.51.66.42</t>
  </si>
  <si>
    <t>97412</t>
  </si>
  <si>
    <t>CHEMIN RIVIERE DU MAT</t>
  </si>
  <si>
    <t>EARL LES ABEILLES (EX:GOSSARD GILBERT)</t>
  </si>
  <si>
    <t>guylaine.ferrere@gmail.com</t>
  </si>
  <si>
    <t>06.92.74.23.15</t>
  </si>
  <si>
    <t>02.62.38.86.22</t>
  </si>
  <si>
    <t>724 CHEMIN BOISSY</t>
  </si>
  <si>
    <t>EARL LE MACADAMIA FERRERE RITO</t>
  </si>
  <si>
    <t>06.92.88.72.60</t>
  </si>
  <si>
    <t>EARL LE GROINCHEUX (ex NATIVEL RAYNALD)</t>
  </si>
  <si>
    <t xml:space="preserve">Visite à faire en même temps que Mélosie </t>
  </si>
  <si>
    <t>kathycadet@hotmail.fr</t>
  </si>
  <si>
    <t>06.92.68.36.62</t>
  </si>
  <si>
    <t>02.62.47.04.89</t>
  </si>
  <si>
    <t>SAINTE ROSE</t>
  </si>
  <si>
    <t>97439</t>
  </si>
  <si>
    <t>BOIS BLANC</t>
  </si>
  <si>
    <t>N°6 COUR LEROUX</t>
  </si>
  <si>
    <t>EARL LE BOIS BLANC Naissage post sevrage</t>
  </si>
  <si>
    <t>EARL LE BOIS BLANC Engraissement</t>
  </si>
  <si>
    <t>02.62.37.41.25</t>
  </si>
  <si>
    <t>06 92 36 79 01</t>
  </si>
  <si>
    <t>02.62.37.42.87</t>
  </si>
  <si>
    <t>LA CRETE</t>
  </si>
  <si>
    <t>EARL LA TITOU FARM (ex:HUET PIERROT)</t>
  </si>
  <si>
    <t>yvette.sellin@gmail.com</t>
  </si>
  <si>
    <t>06.92.65.17.94</t>
  </si>
  <si>
    <t>02.62.46.22.33</t>
  </si>
  <si>
    <t>PETIT BAZAR</t>
  </si>
  <si>
    <t>235 RUELLE VIRAPATRIN</t>
  </si>
  <si>
    <t>EARL LA PARINTA ( ex: SELLIN YVETTE)</t>
  </si>
  <si>
    <t>rosaire.grondin@hotmail.fr</t>
  </si>
  <si>
    <t>06.92.00.99.19</t>
  </si>
  <si>
    <t>02.62.51.02.59</t>
  </si>
  <si>
    <t>18 CHEMIN SAFER</t>
  </si>
  <si>
    <t>EARL LA PALMERAIE (GRONDIN JEAN ROSAIRE)</t>
  </si>
  <si>
    <t>lafermeducointranquille@orange.fr</t>
  </si>
  <si>
    <t>06.92.68.94.04</t>
  </si>
  <si>
    <t>0262394611</t>
  </si>
  <si>
    <t>LE PLATE</t>
  </si>
  <si>
    <t>19ter CHEMIN TAN ROUGE</t>
  </si>
  <si>
    <t>EARL LA FERME DU COIN TRANQUILLE</t>
  </si>
  <si>
    <t>j.expedit.h@gmail.com</t>
  </si>
  <si>
    <t>0693 00 22 52</t>
  </si>
  <si>
    <t>02.62.37.49.40</t>
  </si>
  <si>
    <t>6 RUE DE LA CRETOISE</t>
  </si>
  <si>
    <t>EARL LA CRETOISE (EX-HUET JOSE)</t>
  </si>
  <si>
    <t>06.93.82.10.44</t>
  </si>
  <si>
    <t>02.62.38.02.22</t>
  </si>
  <si>
    <t>117 CHEMIN KERBEL</t>
  </si>
  <si>
    <t xml:space="preserve">EARL KERBEL (ex GAEC KERBEL) </t>
  </si>
  <si>
    <t>fortunegrosset@gmail.com</t>
  </si>
  <si>
    <t>06.92.70.57.47</t>
  </si>
  <si>
    <t>02.62.26.50.72</t>
  </si>
  <si>
    <t>ETANG SALE LES HAUTS</t>
  </si>
  <si>
    <t>97427</t>
  </si>
  <si>
    <t>39 CHEMIN MANIRON</t>
  </si>
  <si>
    <t>EARL JOLY FAMILY (ex GROSSET / BOYER MARIE LISETTE)</t>
  </si>
  <si>
    <t>earl.hkc@gmail.com</t>
  </si>
  <si>
    <t>06.92.16.40.10 thierry</t>
  </si>
  <si>
    <t>06.92.08.88.23 laurent</t>
  </si>
  <si>
    <t>12 CHEMIN CURIAL</t>
  </si>
  <si>
    <t>EARL HKC</t>
  </si>
  <si>
    <t>02.62.47.70.51</t>
  </si>
  <si>
    <t>7 CHEMIN DAMOUR</t>
  </si>
  <si>
    <t>EARL GRONDIN (GRONDIN LOUIS)</t>
  </si>
  <si>
    <t>06.92.86.11.76</t>
  </si>
  <si>
    <t>02.62.56.87.02</t>
  </si>
  <si>
    <t>106 CHEMIN DENIS LEVENEUR</t>
  </si>
  <si>
    <t>EARL GONTHIER</t>
  </si>
  <si>
    <t>06.92.60.42.18</t>
  </si>
  <si>
    <t>02.62.38.34.24</t>
  </si>
  <si>
    <t>13bis CHEMIN MAURER</t>
  </si>
  <si>
    <t xml:space="preserve">EARL FONTALICE (EX: FONTAINE JOSIAN) </t>
  </si>
  <si>
    <t>06 92 50 93 36</t>
  </si>
  <si>
    <t>30 route des Merles</t>
  </si>
  <si>
    <t>EARL FERME FORT</t>
  </si>
  <si>
    <t>fermedubonheur@outlook.com</t>
  </si>
  <si>
    <t>06.92.71.26.59</t>
  </si>
  <si>
    <t>02.62.27.45.04</t>
  </si>
  <si>
    <t>97418</t>
  </si>
  <si>
    <t>17ème KILOMETRE</t>
  </si>
  <si>
    <t>29 ROUTE DES GERANIUMS</t>
  </si>
  <si>
    <t>EARL FERME DU BONHEUR</t>
  </si>
  <si>
    <t>06.92.85.47.18</t>
  </si>
  <si>
    <t>02.62.46.87.96</t>
  </si>
  <si>
    <t>SAINTE CLOTILDE</t>
  </si>
  <si>
    <t>97490</t>
  </si>
  <si>
    <t>132 RUE LEOPOLD RAMBAUD</t>
  </si>
  <si>
    <t>EARL FERME DES ARUMS</t>
  </si>
  <si>
    <t>david.sanassy@hotmail.fr</t>
  </si>
  <si>
    <t>06.92.65.11.93</t>
  </si>
  <si>
    <t>02.62.26.39.12</t>
  </si>
  <si>
    <t>ETANG SALE</t>
  </si>
  <si>
    <t>LE CAP</t>
  </si>
  <si>
    <t>148 LE CAP</t>
  </si>
  <si>
    <t>EARL DU CAP</t>
  </si>
  <si>
    <t>jeancharles974@hotmail.fr</t>
  </si>
  <si>
    <t>06.92.42.43.58</t>
  </si>
  <si>
    <t>VILLELE</t>
  </si>
  <si>
    <t>312 CHEMIN DES ROSES</t>
  </si>
  <si>
    <t>EARL DES ROSES (ex MORIZUR JEAN CHARLES)</t>
  </si>
  <si>
    <t>earldeslaves@gmail.com</t>
  </si>
  <si>
    <t>06.92.53.55.94</t>
  </si>
  <si>
    <t>02.62.47.27.87</t>
  </si>
  <si>
    <t>PITON</t>
  </si>
  <si>
    <t>N°431  ROUTE NATIONALE 2</t>
  </si>
  <si>
    <t>EARL DES LAVES</t>
  </si>
  <si>
    <t>daniellagrondin77@gmail.com</t>
  </si>
  <si>
    <t>06.93.13.54.38</t>
  </si>
  <si>
    <t>06.92.64.41.25</t>
  </si>
  <si>
    <t>71bis RUE MARIUS ET ARY LEBLOND</t>
  </si>
  <si>
    <t>EARL DES GOYAVES</t>
  </si>
  <si>
    <t>mariedanielle.noel@outlook.fr</t>
  </si>
  <si>
    <t>06.92.02.48.31</t>
  </si>
  <si>
    <t>02.62.39.10.70</t>
  </si>
  <si>
    <t>48 CHEMIN DEJEAN</t>
  </si>
  <si>
    <t>EARL DES FLAMBOYANTS</t>
  </si>
  <si>
    <t>jeanyves.maillot55@gmail.com</t>
  </si>
  <si>
    <t>06.92.69.99.75</t>
  </si>
  <si>
    <t>LES MAKES</t>
  </si>
  <si>
    <t xml:space="preserve">30 CHEMIN BON ACCEUIL - LES MAKES </t>
  </si>
  <si>
    <t>EARL DE MONT PLAISIR</t>
  </si>
  <si>
    <t>source.langevin@orange.fr</t>
  </si>
  <si>
    <t>06 92 64 78 80</t>
  </si>
  <si>
    <t>02.62.56.01.76</t>
  </si>
  <si>
    <t>LANGEVIN</t>
  </si>
  <si>
    <t>49 CHEMIN DE LA SOURCE</t>
  </si>
  <si>
    <t xml:space="preserve">EARL DE LA SOURCE LANGEVIN </t>
  </si>
  <si>
    <t>joke450@hotmail.fr</t>
  </si>
  <si>
    <t>06.92.87.27.30</t>
  </si>
  <si>
    <t>02.62.39.20.60</t>
  </si>
  <si>
    <t>97450</t>
  </si>
  <si>
    <t>30 CHEMIN BELLEVUE</t>
  </si>
  <si>
    <t>EARL DE BELLE VUE</t>
  </si>
  <si>
    <t>morelphilippe99@gmail.com</t>
  </si>
  <si>
    <t>0692.07.43.22 (Morel Philippe)</t>
  </si>
  <si>
    <t>06.92.09.15.80</t>
  </si>
  <si>
    <t>02.62.37.50.88</t>
  </si>
  <si>
    <t>42 ROUTE DU BEL AIR</t>
  </si>
  <si>
    <t>EARL DE BEL AIR / MOREL JOSEPH EXPEDIT</t>
  </si>
  <si>
    <t>06 92 29 46 80</t>
  </si>
  <si>
    <t>06.92.09.81.59</t>
  </si>
  <si>
    <t>97436</t>
  </si>
  <si>
    <t>CAP SAINT LEU</t>
  </si>
  <si>
    <t>457 CHEMIN LE LIEVRE</t>
  </si>
  <si>
    <t>EARL DALLEAU FILS</t>
  </si>
  <si>
    <t>picard.emmanuelle974@gmail.com</t>
  </si>
  <si>
    <t>06.92.64.17.19 nelsia</t>
  </si>
  <si>
    <t>06.92.51.77.39</t>
  </si>
  <si>
    <t>02.62.31.08.13</t>
  </si>
  <si>
    <t>MONTVERT LES BAS</t>
  </si>
  <si>
    <t>107 CHEMIN GRAND PERE</t>
  </si>
  <si>
    <t>EARL CHEMIN GRAND PERE (Picard)</t>
  </si>
  <si>
    <t>chemincafe@orange.fr</t>
  </si>
  <si>
    <t>06.92.02.58.02</t>
  </si>
  <si>
    <t>152 ROUTE HUBERT DE LISLE</t>
  </si>
  <si>
    <t>EARL CHEMIN CAFE</t>
  </si>
  <si>
    <t>chamandexpedite@gmail.com</t>
  </si>
  <si>
    <t>06 92 19 26 96</t>
  </si>
  <si>
    <t xml:space="preserve">47 CHEMIN BON ACCEUIL - LES MAKES </t>
  </si>
  <si>
    <t>EARL CHAMAND</t>
  </si>
  <si>
    <t>danielrog@wanadoo.fr</t>
  </si>
  <si>
    <t>06.92.70.48.20</t>
  </si>
  <si>
    <t>2B RUE LISLET GEOFFROY</t>
  </si>
  <si>
    <t>EARL CANNELLE / ROGER DANIEL</t>
  </si>
  <si>
    <t>cami-rm@outlook.fr</t>
  </si>
  <si>
    <t>06.92.24.50.57</t>
  </si>
  <si>
    <t>93 CHEMIN PITON ROUGE</t>
  </si>
  <si>
    <t>EARL CAMI</t>
  </si>
  <si>
    <t>georges.calteau@wanadoo.fr</t>
  </si>
  <si>
    <t>06.92.87.83.16</t>
  </si>
  <si>
    <t>02.62.38.07.21</t>
  </si>
  <si>
    <t>RAVINE SECHE</t>
  </si>
  <si>
    <t>35 CHEMIN DOZENVAL</t>
  </si>
  <si>
    <t>EARL CALTEAU</t>
  </si>
  <si>
    <t>yolaine.soucane@gmail.com</t>
  </si>
  <si>
    <t>06.92.82.56.51</t>
  </si>
  <si>
    <t>RIVIERE DE L EST</t>
  </si>
  <si>
    <t>8 CHEMIN SOUCANE</t>
  </si>
  <si>
    <t>EARL BONNE ESPERANCE</t>
  </si>
  <si>
    <t>06.92.09.33.01</t>
  </si>
  <si>
    <t>02.62.39.47.36</t>
  </si>
  <si>
    <t>45 CHEMIN DEJEAN</t>
  </si>
  <si>
    <t>EARL BOISVILLIERS (Ex : BOISVILLIERS FRANCOIS)</t>
  </si>
  <si>
    <t>06.92.64.96.10</t>
  </si>
  <si>
    <t>02.62.37.55.78</t>
  </si>
  <si>
    <t>EARL BOIS DE SENTEUR(ex:SCEA DE L ACACIA)</t>
  </si>
  <si>
    <t>bellecombe.sartre@gmail.com</t>
  </si>
  <si>
    <t>0692.67.80.51</t>
  </si>
  <si>
    <t>02.62.38.00.47</t>
  </si>
  <si>
    <t>9 ROUTE DU STADE</t>
  </si>
  <si>
    <t>EARL BELLECOMBE (SARTRE)</t>
  </si>
  <si>
    <t>agrisalazes@laposte.net</t>
  </si>
  <si>
    <t>06.92.10.42.94</t>
  </si>
  <si>
    <t>02.62.47.74.30</t>
  </si>
  <si>
    <t>59 CHEMIN DAMOUR</t>
  </si>
  <si>
    <t>EARL AGRI SALAZE</t>
  </si>
  <si>
    <t>bernadette.azor@orange.fr</t>
  </si>
  <si>
    <t>06.92.77.44.70</t>
  </si>
  <si>
    <t>02.62.51.46.24</t>
  </si>
  <si>
    <t>130 RUE CARRON LOUIS</t>
  </si>
  <si>
    <t>EARL ACBA LES JADES (ex AZOR BERNADETTE)</t>
  </si>
  <si>
    <t>hoaraupascal@canalbox.com</t>
  </si>
  <si>
    <t>02.62.38.32.17</t>
  </si>
  <si>
    <t xml:space="preserve">LA RIVIERE </t>
  </si>
  <si>
    <t>26 A RUE VERVAL</t>
  </si>
  <si>
    <t>DORSEUIL CHRISTOPHER (ex HOARAU PASCAL)</t>
  </si>
  <si>
    <t>dijoux.jean-pascal@orange.fr</t>
  </si>
  <si>
    <t>DIJOUX THIERRY</t>
  </si>
  <si>
    <t>myrielle.damour1969@gmail.com</t>
  </si>
  <si>
    <t>06 92 64 36 46</t>
  </si>
  <si>
    <t>02 62 47 72 09</t>
  </si>
  <si>
    <t>33 RUE DE L'EGLISE</t>
  </si>
  <si>
    <t>DAMOUR MYRIELLE</t>
  </si>
  <si>
    <t>DAMOUR LOIC</t>
  </si>
  <si>
    <t>06.92.60.99.42</t>
  </si>
  <si>
    <t>45 CHEMIN DAMOUR - GRAND ILET</t>
  </si>
  <si>
    <t>DAMOUR JACQUELINE TIMOTHEE</t>
  </si>
  <si>
    <t>isabelle.d12@hotmail.fr</t>
  </si>
  <si>
    <t>06 92 36 07 75</t>
  </si>
  <si>
    <t>CASABOIS GRAND ILET</t>
  </si>
  <si>
    <t>11 IMPASSE CIMENDEF - CASABOIS GRAND ILET</t>
  </si>
  <si>
    <t>DAMOUR ISABELLE</t>
  </si>
  <si>
    <t>06.92.87.18.32</t>
  </si>
  <si>
    <t>02.62.47.77.94</t>
  </si>
  <si>
    <t>33 IMPASSE DES PAPILLONS</t>
  </si>
  <si>
    <t>DAMOUR GERALD</t>
  </si>
  <si>
    <t>clotere.damour@gmail.com</t>
  </si>
  <si>
    <t>06.92.66.79.96</t>
  </si>
  <si>
    <t>02.62.51.06.89</t>
  </si>
  <si>
    <t>307 PITON ARMAND</t>
  </si>
  <si>
    <t>DAMOUR CLOTERE</t>
  </si>
  <si>
    <t>ambroise.damour@yahoo.fr</t>
  </si>
  <si>
    <t>06.92.86.97.55</t>
  </si>
  <si>
    <t>02.62.47.71.40</t>
  </si>
  <si>
    <t>37 CHEMIN DAMOUR</t>
  </si>
  <si>
    <t>DAMOUR AMBROISE</t>
  </si>
  <si>
    <t>06 92 72 77 26</t>
  </si>
  <si>
    <t>1 ROUTE FORESTIERE DU ZOO</t>
  </si>
  <si>
    <t xml:space="preserve">CROC PARC </t>
  </si>
  <si>
    <t>crescencevivien@gmail.com</t>
  </si>
  <si>
    <t>06.93.62.46.12</t>
  </si>
  <si>
    <t>02.62.33.59.70</t>
  </si>
  <si>
    <t>130 CHEMIN DE LIGNE</t>
  </si>
  <si>
    <t>CRESCENCE GUITO</t>
  </si>
  <si>
    <t>06 92 29 19 86</t>
  </si>
  <si>
    <t>SAINT-PAUL</t>
  </si>
  <si>
    <t>151 chemin creve cœur</t>
  </si>
  <si>
    <t>CHAMAND SULLY</t>
  </si>
  <si>
    <t>0692 82.77.06</t>
  </si>
  <si>
    <t>RUE MARIE POITEVIN</t>
  </si>
  <si>
    <t>8 IMPASSE BEGE</t>
  </si>
  <si>
    <t>CADET LAURENT</t>
  </si>
  <si>
    <t>bboucher@sicabat.fr</t>
  </si>
  <si>
    <t>02.62.25.55.00</t>
  </si>
  <si>
    <t>ZI N 1</t>
  </si>
  <si>
    <t>1 ALLEE DU PETIT PARIS</t>
  </si>
  <si>
    <t>C.R.I.A.P</t>
  </si>
  <si>
    <t>ear</t>
  </si>
  <si>
    <t>02.62.44.05.50</t>
  </si>
  <si>
    <t>50 CHEMIN GEVIN</t>
  </si>
  <si>
    <t>BOYER YVAN</t>
  </si>
  <si>
    <t>cryptomeria@orange.fr</t>
  </si>
  <si>
    <t>06.92.87.55.85</t>
  </si>
  <si>
    <t>GRAND COUDE</t>
  </si>
  <si>
    <t>7 Bis Rue de l'usine a thé</t>
  </si>
  <si>
    <t>BOYER LUCIE</t>
  </si>
  <si>
    <t>sylvia.boyer072@orange.fr</t>
  </si>
  <si>
    <t>0692 27 88 32</t>
  </si>
  <si>
    <t>421 CHEMIN BEDERE MAILLOT RIVIERE DU MAT LES BAS</t>
  </si>
  <si>
    <t>BOYER JEAN HUGUES</t>
  </si>
  <si>
    <t>06.92.20.16.05</t>
  </si>
  <si>
    <t>SAINT BENOIT</t>
  </si>
  <si>
    <t>97470</t>
  </si>
  <si>
    <t>3 ALLEE DES VERGERS - LA CONFIANCE</t>
  </si>
  <si>
    <t>CHEZ MME BOYER CHRISTIANE</t>
  </si>
  <si>
    <t>BOYER ALEXIS HUBERT</t>
  </si>
  <si>
    <t>06 92 35 41 41</t>
  </si>
  <si>
    <t>20 ROUTE FORESTIERE DU ZOO</t>
  </si>
  <si>
    <t>BIOPARC</t>
  </si>
  <si>
    <t>06 92 80 86 74</t>
  </si>
  <si>
    <t>02 62 34 05 43</t>
  </si>
  <si>
    <t xml:space="preserve">528 Route Hubert Delisle </t>
  </si>
  <si>
    <t>BERBY JEAN GERMEUIL</t>
  </si>
  <si>
    <t>06.92.86.72.78</t>
  </si>
  <si>
    <t>02.62.47.56.60</t>
  </si>
  <si>
    <t>CAMP LILAS</t>
  </si>
  <si>
    <t>43 RUE GEORGES POMPIDOU</t>
  </si>
  <si>
    <t>BEGUE HENRI NE site impasse Lamy (village)</t>
  </si>
  <si>
    <t>beguegabriel@hotmail.fr</t>
  </si>
  <si>
    <t>0692815294 (Gabriel)</t>
  </si>
  <si>
    <t>06.92.72.93.18 (Jean Bernard)</t>
  </si>
  <si>
    <t>02.62.56.83.25</t>
  </si>
  <si>
    <t>93 CHEMIN DE LA FORÊT</t>
  </si>
  <si>
    <t>BEGUE GABRIEL Site Engraissement La Crête</t>
  </si>
  <si>
    <t xml:space="preserve">BEGUE GABRIEL (ex-JEAN BERNARD )             </t>
  </si>
  <si>
    <t>joelle.hoareau09@gmail.com</t>
  </si>
  <si>
    <t>06.93.81.09.35</t>
  </si>
  <si>
    <t>02.62.56.13.31</t>
  </si>
  <si>
    <t>23 RUE FRANCOIS MAURIAC</t>
  </si>
  <si>
    <t>BEDAN JEANNICK (EX GRONDIN MARIE SYLVIE (ex:HOAREAU JOSEPH DANY)°</t>
  </si>
  <si>
    <t>06.92.19.50.89</t>
  </si>
  <si>
    <t>02.62.56.27.80</t>
  </si>
  <si>
    <t>MANAPANY</t>
  </si>
  <si>
    <t>2 RUE VINCENT BORDET</t>
  </si>
  <si>
    <t>BARRET JEAN PAUL</t>
  </si>
  <si>
    <t>rene.banoubie@gmail.com</t>
  </si>
  <si>
    <t>06.92.77.65.71</t>
  </si>
  <si>
    <t>02.62.46.23.77</t>
  </si>
  <si>
    <t>123 ALLEE ZELMAR</t>
  </si>
  <si>
    <t>BANOUBIE RENE</t>
  </si>
  <si>
    <t>06 92 87 44 78</t>
  </si>
  <si>
    <t>39 CHEMIN JOSEPH BARONCE</t>
  </si>
  <si>
    <t>AYE DIDIER</t>
  </si>
  <si>
    <t>06.93.91.28.36</t>
  </si>
  <si>
    <t>02.62.37.43.31</t>
  </si>
  <si>
    <t>LA CRETE 1ER VILLAGE</t>
  </si>
  <si>
    <t>13 RUE RABELAIS</t>
  </si>
  <si>
    <t>ASSING ALBERT</t>
  </si>
  <si>
    <t>armouet.billy@gmail.com</t>
  </si>
  <si>
    <t>06.92.61.69.10</t>
  </si>
  <si>
    <t>02.62.47.53.32</t>
  </si>
  <si>
    <t>112 CHEMIN BEGUE</t>
  </si>
  <si>
    <t>ARMOUET BILLY</t>
  </si>
  <si>
    <t>alaguirissamy.nadine@orange.fr</t>
  </si>
  <si>
    <t>06.92.76.70.50</t>
  </si>
  <si>
    <t>02.62.37.27.91</t>
  </si>
  <si>
    <t>26 RUE CAFE</t>
  </si>
  <si>
    <t>ALAGUIRISSAMY NADINE</t>
  </si>
  <si>
    <t>PETIT TAMPON</t>
  </si>
  <si>
    <t>CHEMIN DE LA BERGERIE</t>
  </si>
  <si>
    <t>ADOLPHE BRUNO</t>
  </si>
  <si>
    <t>06 92 61 91 42</t>
  </si>
  <si>
    <t>22B CHEMIN BUREL</t>
  </si>
  <si>
    <t>ABUFERA JEAN-PASCAL</t>
  </si>
  <si>
    <t>abelardvalerie25@gmail.com</t>
  </si>
  <si>
    <t>06.92.58.31.84</t>
  </si>
  <si>
    <t>26 RUE ROGER MONDON</t>
  </si>
  <si>
    <t>ABELARD VALERIE</t>
  </si>
  <si>
    <t>johanalaguirisamy@gmail.com</t>
  </si>
  <si>
    <t>06 92 45 40 43</t>
  </si>
  <si>
    <t>35 RUE DES OIGNONS</t>
  </si>
  <si>
    <t xml:space="preserve">
ALAGUIRISAMY JOHAN (ex: MOREL LUC)</t>
  </si>
  <si>
    <t>kbidymagalie.73@gmail.com</t>
  </si>
  <si>
    <t>06.92.21.74.11</t>
  </si>
  <si>
    <t>02.62.37.42.80</t>
  </si>
  <si>
    <t>1er VILLAGE</t>
  </si>
  <si>
    <t>49 CHEMIN DE LA PETITE CRETE</t>
  </si>
  <si>
    <t xml:space="preserve"> KBIDY Jean Gregory (ex EARL KBIDY / K BIDY JEAN PIERRE)</t>
  </si>
  <si>
    <t>COURRIEL</t>
  </si>
  <si>
    <t>MOBILE 2</t>
  </si>
  <si>
    <t>MOBILE</t>
  </si>
  <si>
    <t>FIXE</t>
  </si>
  <si>
    <t>VILLE</t>
  </si>
  <si>
    <t>CP</t>
  </si>
  <si>
    <t>ADRESSE 2</t>
  </si>
  <si>
    <t>ADRESSE 1</t>
  </si>
  <si>
    <t>N° EDE</t>
  </si>
  <si>
    <t>SECTEUR</t>
  </si>
  <si>
    <r>
      <rPr>
        <b/>
        <sz val="8"/>
        <color rgb="FFFF0000"/>
        <rFont val="Times New Roman"/>
        <family val="1"/>
      </rPr>
      <t xml:space="preserve">CPPR (C) </t>
    </r>
    <r>
      <rPr>
        <b/>
        <sz val="8"/>
        <color rgb="FF00B050"/>
        <rFont val="Times New Roman"/>
        <family val="1"/>
      </rPr>
      <t xml:space="preserve"> INDEPENDANT (I)</t>
    </r>
    <r>
      <rPr>
        <b/>
        <sz val="8"/>
        <color rgb="FF92D050"/>
        <rFont val="Times New Roman"/>
        <family val="1"/>
      </rPr>
      <t xml:space="preserve"> </t>
    </r>
    <r>
      <rPr>
        <b/>
        <sz val="8"/>
        <color indexed="8"/>
        <rFont val="Times New Roman"/>
        <family val="1"/>
      </rPr>
      <t xml:space="preserve"> </t>
    </r>
    <r>
      <rPr>
        <b/>
        <sz val="8"/>
        <color rgb="FF00B0F0"/>
        <rFont val="Times New Roman"/>
        <family val="1"/>
      </rPr>
      <t>INDEPENDANT plein air (IPA)</t>
    </r>
  </si>
  <si>
    <t>NOM</t>
  </si>
  <si>
    <t>FK-006</t>
  </si>
  <si>
    <t>sceaamelia@gmail.com</t>
  </si>
  <si>
    <t>frederic.hoareau333@gmail.com</t>
  </si>
  <si>
    <t>FK-007</t>
  </si>
  <si>
    <t>admi.3pc@gmail.com</t>
  </si>
  <si>
    <t>FK-008</t>
  </si>
  <si>
    <t>FK-009</t>
  </si>
  <si>
    <t>FK-010</t>
  </si>
  <si>
    <t>FK-011</t>
  </si>
  <si>
    <t>florianetienne974@gmail.com</t>
  </si>
  <si>
    <t>FK-012</t>
  </si>
  <si>
    <t>FK-013</t>
  </si>
  <si>
    <t>FK-014</t>
  </si>
  <si>
    <t>FK-015</t>
  </si>
  <si>
    <t>FK-016</t>
  </si>
  <si>
    <t>FK-017</t>
  </si>
  <si>
    <t>FK-018</t>
  </si>
  <si>
    <t>earltoutlebon@hotmail.com</t>
  </si>
  <si>
    <t>Preleveur</t>
  </si>
  <si>
    <t>Fayçal Khetim</t>
  </si>
  <si>
    <t>isolat_ID</t>
  </si>
  <si>
    <t>Pos_neg</t>
  </si>
  <si>
    <t>PN_ESBL</t>
  </si>
  <si>
    <t>ESBL</t>
  </si>
  <si>
    <t>PN_CARBA</t>
  </si>
  <si>
    <t>CARBA</t>
  </si>
  <si>
    <t>amo_20</t>
  </si>
  <si>
    <t>tgc_15</t>
  </si>
  <si>
    <t>tic_75</t>
  </si>
  <si>
    <t>col_10</t>
  </si>
  <si>
    <t>cox_5</t>
  </si>
  <si>
    <t>amc_30</t>
  </si>
  <si>
    <t>caz_10</t>
  </si>
  <si>
    <t>gmn_10</t>
  </si>
  <si>
    <t>amp_10</t>
  </si>
  <si>
    <t>fep_30</t>
  </si>
  <si>
    <t>etp_10</t>
  </si>
  <si>
    <t>ipm_10</t>
  </si>
  <si>
    <t>ofx_5</t>
  </si>
  <si>
    <t>cip_5</t>
  </si>
  <si>
    <t>tet_30</t>
  </si>
  <si>
    <t>synergie</t>
  </si>
  <si>
    <t>echantillon_id</t>
  </si>
  <si>
    <t>négatif</t>
  </si>
  <si>
    <t>extraction</t>
  </si>
  <si>
    <t>concentration_adn_ng_µL</t>
  </si>
  <si>
    <t>sequençage</t>
  </si>
  <si>
    <t>especes</t>
  </si>
  <si>
    <t>st</t>
  </si>
  <si>
    <t>rapport</t>
  </si>
  <si>
    <t>eleveur</t>
  </si>
  <si>
    <t>sxt_25</t>
  </si>
  <si>
    <t>FK-019</t>
  </si>
  <si>
    <t>FK-020</t>
  </si>
  <si>
    <t>FK-021</t>
  </si>
  <si>
    <t>FK-022</t>
  </si>
  <si>
    <t>FK-023</t>
  </si>
  <si>
    <t>FK-024</t>
  </si>
  <si>
    <t>FK-025</t>
  </si>
  <si>
    <t>FK-026</t>
  </si>
  <si>
    <t>FK-027</t>
  </si>
  <si>
    <t>FK-028</t>
  </si>
  <si>
    <t>FK-029</t>
  </si>
  <si>
    <t>FK-030</t>
  </si>
  <si>
    <t>FK-031</t>
  </si>
  <si>
    <t>FK-032</t>
  </si>
  <si>
    <t>FK-033</t>
  </si>
  <si>
    <t>FK-034</t>
  </si>
  <si>
    <t>FK-035</t>
  </si>
  <si>
    <t>FK-036</t>
  </si>
  <si>
    <t>FK-037</t>
  </si>
  <si>
    <t>FK-038</t>
  </si>
  <si>
    <t>FK-039</t>
  </si>
  <si>
    <t>FK-040</t>
  </si>
  <si>
    <t>FK-041</t>
  </si>
  <si>
    <t>FK-042</t>
  </si>
  <si>
    <t>FK-043</t>
  </si>
  <si>
    <t>FK-044</t>
  </si>
  <si>
    <t>FK-045</t>
  </si>
  <si>
    <t>FK-046</t>
  </si>
  <si>
    <t>FK-047</t>
  </si>
  <si>
    <t>FK-048</t>
  </si>
  <si>
    <t>FK-049</t>
  </si>
  <si>
    <t>FK-050</t>
  </si>
  <si>
    <t>FK-051</t>
  </si>
  <si>
    <t>FK-052</t>
  </si>
  <si>
    <t>FK-053</t>
  </si>
  <si>
    <t>FK-054</t>
  </si>
  <si>
    <t>FK-055</t>
  </si>
  <si>
    <t>FK-056</t>
  </si>
  <si>
    <t>FK-057</t>
  </si>
  <si>
    <t>FK-058</t>
  </si>
  <si>
    <t>FK-059</t>
  </si>
  <si>
    <t>FK-060</t>
  </si>
  <si>
    <t>FK-061</t>
  </si>
  <si>
    <t>FK-062</t>
  </si>
  <si>
    <t>FK-063</t>
  </si>
  <si>
    <t>FK-064</t>
  </si>
  <si>
    <t>FK-065</t>
  </si>
  <si>
    <t>FK-066</t>
  </si>
  <si>
    <t>FK-067</t>
  </si>
  <si>
    <t>FK-068</t>
  </si>
  <si>
    <t>FK-069</t>
  </si>
  <si>
    <t>FK-070</t>
  </si>
  <si>
    <t>FK-071</t>
  </si>
  <si>
    <t>FK-072</t>
  </si>
  <si>
    <t>FK-073</t>
  </si>
  <si>
    <t>FK-074</t>
  </si>
  <si>
    <t>FK-075</t>
  </si>
  <si>
    <t>FK-076</t>
  </si>
  <si>
    <t>FK-077</t>
  </si>
  <si>
    <t>FK-078</t>
  </si>
  <si>
    <t>FK-079</t>
  </si>
  <si>
    <t>FK-080</t>
  </si>
  <si>
    <t>FK-081</t>
  </si>
  <si>
    <t>FK-082</t>
  </si>
  <si>
    <t>FK-083</t>
  </si>
  <si>
    <t>FK-084</t>
  </si>
  <si>
    <t>FK-085</t>
  </si>
  <si>
    <t>FK-086</t>
  </si>
  <si>
    <t>FK-087</t>
  </si>
  <si>
    <t>Crescence vivien</t>
  </si>
  <si>
    <t>Emmanuelle Picard</t>
  </si>
  <si>
    <t>Hoareau Frederic</t>
  </si>
  <si>
    <t>Huet andre</t>
  </si>
  <si>
    <t>Hoarau jonathan</t>
  </si>
  <si>
    <t>Lépinay Anne-Gaëlle</t>
  </si>
  <si>
    <t>code</t>
  </si>
  <si>
    <t>Maieu Désiré</t>
  </si>
  <si>
    <t>Rivière Anicia</t>
  </si>
  <si>
    <t>Vatel Angelique</t>
  </si>
  <si>
    <t>Nicole Florian</t>
  </si>
  <si>
    <t xml:space="preserve">Sartre jean </t>
  </si>
  <si>
    <t xml:space="preserve"> Etienne Florian</t>
  </si>
  <si>
    <t>Calteau Georges</t>
  </si>
  <si>
    <t>Rivière Marick</t>
  </si>
  <si>
    <t xml:space="preserve">Begue Jeremy </t>
  </si>
  <si>
    <t>Nourry Aldo</t>
  </si>
  <si>
    <t>EARL LES CALUMETS</t>
  </si>
  <si>
    <t>EARL BELLECOMBE</t>
  </si>
  <si>
    <t>Morizur Jean Charles</t>
  </si>
  <si>
    <t xml:space="preserve">Hoareau Bernard </t>
  </si>
  <si>
    <t>Grondin Ludovic</t>
  </si>
  <si>
    <t>EARL NIDNORG</t>
  </si>
  <si>
    <t>Boyer Yvan</t>
  </si>
  <si>
    <t>yvanboyer974@gmail.com</t>
  </si>
  <si>
    <t>lauretpierre111@gmail.com</t>
  </si>
  <si>
    <t>Lauret Pierre Robert</t>
  </si>
  <si>
    <t>FK-022b</t>
  </si>
  <si>
    <t>Azor Bernadette</t>
  </si>
  <si>
    <t>EARL ACBA LES JADES</t>
  </si>
  <si>
    <t>EARL LES LILAS</t>
  </si>
  <si>
    <t>EARL DES ROSES</t>
  </si>
  <si>
    <t>Lallemand Olivier</t>
  </si>
  <si>
    <t>Dijoux Thierry</t>
  </si>
  <si>
    <t>berazor974@gmail.com</t>
  </si>
  <si>
    <t>Seusse Yannick</t>
  </si>
  <si>
    <t>288 ROUTE NATIONALE 3</t>
  </si>
  <si>
    <t>seusseyannick@gmail.com</t>
  </si>
  <si>
    <t>Karine Mouniama</t>
  </si>
  <si>
    <t>kms_mouniama@hotmail.fr</t>
  </si>
  <si>
    <t>Banoubie Rene</t>
  </si>
  <si>
    <t>D. Vingadassin</t>
  </si>
  <si>
    <t>dede.vinga@gmail.com</t>
  </si>
  <si>
    <t>GRONDIN MARIE JOSIE ENGRAISSEMENT</t>
  </si>
  <si>
    <t>GRONDIN MARIE JOSIE  REPRO</t>
  </si>
  <si>
    <t>Grondin marie José</t>
  </si>
  <si>
    <t>38 rue des arums</t>
  </si>
  <si>
    <t>Moreau Linda</t>
  </si>
  <si>
    <t>17 CHEMIN DES PAPANGUES LIBERIA LES HAUTS</t>
  </si>
  <si>
    <t>1610 CHEMIN PATELIN RIVIERE DU MAT LES BATS</t>
  </si>
  <si>
    <t>EARL LES ABEILLES</t>
  </si>
  <si>
    <t>lesabeilles97412@gmail.com</t>
  </si>
  <si>
    <t>FK-029b</t>
  </si>
  <si>
    <t>Sanassy David</t>
  </si>
  <si>
    <t>173 CHEMIN DU CAP</t>
  </si>
  <si>
    <t>Statut</t>
  </si>
  <si>
    <t>EARL JOLY FAMILY</t>
  </si>
  <si>
    <t>Grosset Gille</t>
  </si>
  <si>
    <t>Noel Danielle</t>
  </si>
  <si>
    <t>Lioni Maximin</t>
  </si>
  <si>
    <t>Maillot Yves</t>
  </si>
  <si>
    <t>emiliemaillot.86@gmail.com</t>
  </si>
  <si>
    <t>EARL CANNELLE</t>
  </si>
  <si>
    <t>Roger Daniel</t>
  </si>
  <si>
    <t>Robert Henri</t>
  </si>
  <si>
    <t>exploitationrobert@gmail.com</t>
  </si>
  <si>
    <t>Hoareau Johny</t>
  </si>
  <si>
    <t>GAEC LES PORCELETS DU SUD</t>
  </si>
  <si>
    <t>BEDAN JEANNICK</t>
  </si>
  <si>
    <t>Bedan Jeannick</t>
  </si>
  <si>
    <t>maletvivianne@gmail.com</t>
  </si>
  <si>
    <t>gaeclpds@gmail.com</t>
  </si>
  <si>
    <t>Alaguirissamy Johan</t>
  </si>
  <si>
    <t>Folio Nico</t>
  </si>
  <si>
    <t>Liang lang hu Julien</t>
  </si>
  <si>
    <t>Gonthier Jerome</t>
  </si>
  <si>
    <t>earl.grondin@gmail.com</t>
  </si>
  <si>
    <t>EARL DE BEL AIR</t>
  </si>
  <si>
    <t>Grondin yannick</t>
  </si>
  <si>
    <t>Nativel Maud</t>
  </si>
  <si>
    <t>Morel Philippe</t>
  </si>
  <si>
    <t>Mussard bertrand</t>
  </si>
  <si>
    <t>maud97480@hotmail.fr</t>
  </si>
  <si>
    <t>Chamand Expedit</t>
  </si>
  <si>
    <t xml:space="preserve">EARL PITON D'ANCHAING </t>
  </si>
  <si>
    <t>Pause Ludovic</t>
  </si>
  <si>
    <t>earlpythond'anchaing@gmail.com</t>
  </si>
  <si>
    <t>Cadet Laurent</t>
  </si>
  <si>
    <t>l.cadet583@laposte.net</t>
  </si>
  <si>
    <t>Madame Cadet</t>
  </si>
  <si>
    <t>Morel Thierry</t>
  </si>
  <si>
    <t>Picard Fabrice</t>
  </si>
  <si>
    <t>gaecbassinplat@gmail.com</t>
  </si>
  <si>
    <t>Damour clotere</t>
  </si>
  <si>
    <t>Maillot Yves Andre</t>
  </si>
  <si>
    <t>EARL LA PALMERAIE</t>
  </si>
  <si>
    <t>Grondin Rosaire</t>
  </si>
  <si>
    <t>chantalechrist@gmail.com</t>
  </si>
  <si>
    <t>Olivier Julie</t>
  </si>
  <si>
    <t>Robert Mickael &amp; Christopher</t>
  </si>
  <si>
    <t>Lebon Olivier</t>
  </si>
  <si>
    <t>lebon.elise@wanadoo</t>
  </si>
  <si>
    <t>Begue Gabriel</t>
  </si>
  <si>
    <t>Armouet Billy</t>
  </si>
  <si>
    <t>Turpin Jimmy</t>
  </si>
  <si>
    <t>SCEA TURPIN</t>
  </si>
  <si>
    <t xml:space="preserve">ROBERT VALENTIN </t>
  </si>
  <si>
    <t>Robert Valentin</t>
  </si>
  <si>
    <t>Begue Henri</t>
  </si>
  <si>
    <t>begue.henri974@gmail.com</t>
  </si>
  <si>
    <t>FK-060b</t>
  </si>
  <si>
    <t>Grondin Gerard</t>
  </si>
  <si>
    <t>Julien Elisabeth</t>
  </si>
  <si>
    <t>MAILLOT DANIEL ANDRE</t>
  </si>
  <si>
    <t>Maillot Daniel Andre</t>
  </si>
  <si>
    <t>NOURRY RENALD</t>
  </si>
  <si>
    <t>Nourry Renald</t>
  </si>
  <si>
    <t>Renaldnourry@gmail.com</t>
  </si>
  <si>
    <t>33 CHEMIN DE L'EGLISE SAINT MARTIN</t>
  </si>
  <si>
    <t>xxx</t>
  </si>
  <si>
    <t>Damour Ambroise</t>
  </si>
  <si>
    <t xml:space="preserve">3 ALLEE DES CRYPTOMERIAS </t>
  </si>
  <si>
    <t>Boyer Jean Huges</t>
  </si>
  <si>
    <t>PAUSE SYLVIANNE</t>
  </si>
  <si>
    <t>Pause Sylvianne</t>
  </si>
  <si>
    <t>spgrandilet@orange.fr</t>
  </si>
  <si>
    <t>EARL GRONDIN</t>
  </si>
  <si>
    <t>Grondin Louis</t>
  </si>
  <si>
    <t>earlgrondin@gmail.com</t>
  </si>
  <si>
    <t>Grondin Jose Martin</t>
  </si>
  <si>
    <t xml:space="preserve">MAILLOT PATRICK </t>
  </si>
  <si>
    <t>Maillot Patrick</t>
  </si>
  <si>
    <t>Maleck Vasseur</t>
  </si>
  <si>
    <t>FK-075b</t>
  </si>
  <si>
    <t>EARL NOTRE DAME DE LA PAIX REPROS</t>
  </si>
  <si>
    <t>EARL NOTRE DAME DE LA PAIX ENGRAISSEMENT</t>
  </si>
  <si>
    <t>Fontaine Cédric</t>
  </si>
  <si>
    <t>secretariat@earlppg.com</t>
  </si>
  <si>
    <t>Lebon Henri</t>
  </si>
  <si>
    <t>SOCIETE AGRICOLE DE LA PAIX</t>
  </si>
  <si>
    <t>Moreau Victoria</t>
  </si>
  <si>
    <t>BEGUE GABRIEL</t>
  </si>
  <si>
    <t>Grondin Jeannick</t>
  </si>
  <si>
    <t xml:space="preserve">EARL DES GOYAVIER </t>
  </si>
  <si>
    <t>payet.corrine@gmail.com</t>
  </si>
  <si>
    <t>ganthiea@gmail.com</t>
  </si>
  <si>
    <t>rdm26@wanadoo.fr</t>
  </si>
  <si>
    <t>lrolland@cppr.fr</t>
  </si>
  <si>
    <t>guillaume_sellea@hotmail.fr</t>
  </si>
  <si>
    <t>YES</t>
  </si>
  <si>
    <t>-</t>
  </si>
  <si>
    <t>NO</t>
  </si>
  <si>
    <t>e-coli</t>
  </si>
  <si>
    <t>3268</t>
  </si>
  <si>
    <t>klebsiella pneumoniae</t>
  </si>
  <si>
    <t>serratia fonticola</t>
  </si>
  <si>
    <t>klebsiella oxytoca</t>
  </si>
  <si>
    <t>Fecès</t>
  </si>
  <si>
    <t>ecloacae</t>
  </si>
  <si>
    <t>X</t>
  </si>
  <si>
    <t>x</t>
  </si>
  <si>
    <t>FK-22b</t>
  </si>
  <si>
    <t>genome_size</t>
  </si>
  <si>
    <t>N50</t>
  </si>
  <si>
    <t>ID-maldi</t>
  </si>
  <si>
    <t>scheme</t>
  </si>
  <si>
    <t>ST</t>
  </si>
  <si>
    <t>Gambit</t>
  </si>
  <si>
    <t>allele01</t>
  </si>
  <si>
    <t>allele02</t>
  </si>
  <si>
    <t>allele03</t>
  </si>
  <si>
    <t>allele04</t>
  </si>
  <si>
    <t>allele05</t>
  </si>
  <si>
    <t>allele06</t>
  </si>
  <si>
    <t>allele07</t>
  </si>
  <si>
    <t>aadA5</t>
  </si>
  <si>
    <t>aph(3'')-Ib</t>
  </si>
  <si>
    <t>aph(6)-Id</t>
  </si>
  <si>
    <t>blaACT</t>
  </si>
  <si>
    <t>blaACT-109</t>
  </si>
  <si>
    <t>blaCTX-M-1</t>
  </si>
  <si>
    <t>blaCTX-M-15</t>
  </si>
  <si>
    <t>blaFONA-7</t>
  </si>
  <si>
    <t>blaIMI-1</t>
  </si>
  <si>
    <t>blaOKP-A</t>
  </si>
  <si>
    <t>blaSFDC</t>
  </si>
  <si>
    <t>blaTEM-1</t>
  </si>
  <si>
    <t>dfrA14</t>
  </si>
  <si>
    <t>dfrA17</t>
  </si>
  <si>
    <t>floR</t>
  </si>
  <si>
    <t>fosA</t>
  </si>
  <si>
    <t>fosA2</t>
  </si>
  <si>
    <t>mph(A)</t>
  </si>
  <si>
    <t>oqxA</t>
  </si>
  <si>
    <t>oqxB</t>
  </si>
  <si>
    <t>qnrS1</t>
  </si>
  <si>
    <t>sul2</t>
  </si>
  <si>
    <t>sul3</t>
  </si>
  <si>
    <t>tet(A)</t>
  </si>
  <si>
    <t>tet(B)</t>
  </si>
  <si>
    <t>04FP.B</t>
  </si>
  <si>
    <t>koxytoca</t>
  </si>
  <si>
    <t>gapA(3)</t>
  </si>
  <si>
    <t>infB(8)</t>
  </si>
  <si>
    <t>mdh(20)</t>
  </si>
  <si>
    <t>pgi(7)</t>
  </si>
  <si>
    <t>phoE(23)</t>
  </si>
  <si>
    <t>rpoB(14)</t>
  </si>
  <si>
    <t>tonB(18)</t>
  </si>
  <si>
    <t>plasmid::IncFIA,IncFII,rep_cluster_2183::136228</t>
  </si>
  <si>
    <t>plasmid::IncFIB::228851</t>
  </si>
  <si>
    <t>06FP.R</t>
  </si>
  <si>
    <t>ecoli_achtman_4</t>
  </si>
  <si>
    <t>adk(4)</t>
  </si>
  <si>
    <t>fumC(26)</t>
  </si>
  <si>
    <t>gyrB(2)</t>
  </si>
  <si>
    <t>icd(363)</t>
  </si>
  <si>
    <t>mdh(5)</t>
  </si>
  <si>
    <t>purA(5)</t>
  </si>
  <si>
    <t>recA(19)</t>
  </si>
  <si>
    <t>13FP.B</t>
  </si>
  <si>
    <t>dnaA(13)</t>
  </si>
  <si>
    <t>fusA(2)</t>
  </si>
  <si>
    <t>gyrB(47)</t>
  </si>
  <si>
    <t>leuS(23)</t>
  </si>
  <si>
    <t>pyrG(53)</t>
  </si>
  <si>
    <t>rplB(2)</t>
  </si>
  <si>
    <t>24MP.R</t>
  </si>
  <si>
    <t>adk(6)</t>
  </si>
  <si>
    <t>fumC(29)</t>
  </si>
  <si>
    <t>gyrB(32)</t>
  </si>
  <si>
    <t>icd(16)</t>
  </si>
  <si>
    <t>mdh(11)</t>
  </si>
  <si>
    <t>purA(8)</t>
  </si>
  <si>
    <t>recA(44)</t>
  </si>
  <si>
    <t>plasmid::IncI-gamma/K1::110327</t>
  </si>
  <si>
    <t>28FP.R</t>
  </si>
  <si>
    <t>29FP.B</t>
  </si>
  <si>
    <t>dnaA(381)</t>
  </si>
  <si>
    <t>fusA(346)</t>
  </si>
  <si>
    <t>gyrB(522)</t>
  </si>
  <si>
    <t>leuS(476)</t>
  </si>
  <si>
    <t>pyrG(199)</t>
  </si>
  <si>
    <t>rplB(254)</t>
  </si>
  <si>
    <t>rpoB(217)</t>
  </si>
  <si>
    <t>29FP.c</t>
  </si>
  <si>
    <t>29FP.R</t>
  </si>
  <si>
    <t>fumC(4)</t>
  </si>
  <si>
    <t>gyrB(4)</t>
  </si>
  <si>
    <t>mdh(24)</t>
  </si>
  <si>
    <t>recA(14)</t>
  </si>
  <si>
    <t>43FP.B</t>
  </si>
  <si>
    <t>klebsiella</t>
  </si>
  <si>
    <t>gapA(2)</t>
  </si>
  <si>
    <t>infB(5)</t>
  </si>
  <si>
    <t>mdh(2)</t>
  </si>
  <si>
    <t>pgi(1)</t>
  </si>
  <si>
    <t>phoE(4)</t>
  </si>
  <si>
    <t>rpoB(1)</t>
  </si>
  <si>
    <t>tonB(4)</t>
  </si>
  <si>
    <t>plasmid::IncFIB::209339</t>
  </si>
  <si>
    <t>43FP.R</t>
  </si>
  <si>
    <t>adk(8)</t>
  </si>
  <si>
    <t>fumC(7)</t>
  </si>
  <si>
    <t>gyrB(1)</t>
  </si>
  <si>
    <t>icd(8)</t>
  </si>
  <si>
    <t>mdh(8)</t>
  </si>
  <si>
    <t>purA(13)</t>
  </si>
  <si>
    <t>recA(47)</t>
  </si>
  <si>
    <t>gapA(17)</t>
  </si>
  <si>
    <t>infB(19)</t>
  </si>
  <si>
    <t>mdh(79)</t>
  </si>
  <si>
    <t>pgi(20)</t>
  </si>
  <si>
    <t>phoE(150)</t>
  </si>
  <si>
    <t>rpoB(55)</t>
  </si>
  <si>
    <t>tonB(142)</t>
  </si>
  <si>
    <t>plasmid::IncFIB,IncFII,rep_cluster_2183::136906</t>
  </si>
  <si>
    <t>68FP.B</t>
  </si>
  <si>
    <t>plasmid::IncFIB::243099</t>
  </si>
  <si>
    <t>78Mfe.R</t>
  </si>
  <si>
    <t>adk(26)</t>
  </si>
  <si>
    <t>icd(1)</t>
  </si>
  <si>
    <t>recA(6)</t>
  </si>
  <si>
    <t>infB(1)</t>
  </si>
  <si>
    <t>phoE(1)</t>
  </si>
  <si>
    <t>tonB(57)</t>
  </si>
  <si>
    <t>plasmid::IncFIB,IncU::221423</t>
  </si>
  <si>
    <t>Enterobacter cloacae</t>
  </si>
  <si>
    <t xml:space="preserve">serratia fonticola </t>
  </si>
  <si>
    <t>E-coli</t>
  </si>
  <si>
    <t>8 RUE DES RAMIERS 97429 PETITE-ILE</t>
  </si>
  <si>
    <t>Barret Joseph</t>
  </si>
  <si>
    <t>Soucane Yolaine</t>
  </si>
  <si>
    <t>Pause Yoann</t>
  </si>
  <si>
    <t>HEW-KIAN-CHONG Marie</t>
  </si>
  <si>
    <t>Sellier Guillaume</t>
  </si>
  <si>
    <t>Riviere Damien</t>
  </si>
  <si>
    <t>Gonthier Alexandre</t>
  </si>
  <si>
    <t xml:space="preserve">Adolphe Bruno </t>
  </si>
  <si>
    <t xml:space="preserve">Fayçal   Khetim </t>
  </si>
  <si>
    <t>IDENTIFICATION</t>
  </si>
  <si>
    <t>TAILLE &amp; STRUCTURE</t>
  </si>
  <si>
    <t>Environnement de l'élevage</t>
  </si>
  <si>
    <t>BIOSECURITE</t>
  </si>
  <si>
    <t>Mouvements d'animaux</t>
  </si>
  <si>
    <t>SANTE</t>
  </si>
  <si>
    <t>Antibiotique</t>
  </si>
  <si>
    <t>Hygiène et désinfection</t>
  </si>
  <si>
    <t>Elevage_ID</t>
  </si>
  <si>
    <t>Zone_géographique</t>
  </si>
  <si>
    <t>Date</t>
  </si>
  <si>
    <t>Bactérie résistante</t>
  </si>
  <si>
    <t>Nb_batiment</t>
  </si>
  <si>
    <t>Type _batiment</t>
  </si>
  <si>
    <t>Type_elevage</t>
  </si>
  <si>
    <t>Nb_porcs</t>
  </si>
  <si>
    <t>Nb_Truie</t>
  </si>
  <si>
    <t>Nb_verrats</t>
  </si>
  <si>
    <t>annee_installation</t>
  </si>
  <si>
    <t>Age_Elevage</t>
  </si>
  <si>
    <t>Distance_Eau_Inf100m</t>
  </si>
  <si>
    <t>Type_pointH2O</t>
  </si>
  <si>
    <t>Elevage_Porcin_Inf500m</t>
  </si>
  <si>
    <t>Elevage_Autre_Espece_Inf500m</t>
  </si>
  <si>
    <t>Type_elevage_proche</t>
  </si>
  <si>
    <t>Marche_Avant</t>
  </si>
  <si>
    <t>Isolement_Malades</t>
  </si>
  <si>
    <t>Achat_Animaux</t>
  </si>
  <si>
    <t>Provenance_Exterieure</t>
  </si>
  <si>
    <t>visite_veto</t>
  </si>
  <si>
    <t>patho_digestive</t>
  </si>
  <si>
    <t>patho_respiratoire</t>
  </si>
  <si>
    <t>patho_urinaire</t>
  </si>
  <si>
    <t>patho_cutanee</t>
  </si>
  <si>
    <t>Canibalisme</t>
  </si>
  <si>
    <t>Type_traitement</t>
  </si>
  <si>
    <t>atb_amoxicilline</t>
  </si>
  <si>
    <t>atb_phénicolés</t>
  </si>
  <si>
    <t>atb_macrolide</t>
  </si>
  <si>
    <t>Utilisation_Desinfectant</t>
  </si>
  <si>
    <t>Nom_Desinfectant</t>
  </si>
  <si>
    <t>Utilisation_Detergent</t>
  </si>
  <si>
    <t>Nom_Detergent</t>
  </si>
  <si>
    <t>E-BSL</t>
  </si>
  <si>
    <t>E-CP</t>
  </si>
  <si>
    <t>Oui/Non</t>
  </si>
  <si>
    <t>Pénijectyl</t>
  </si>
  <si>
    <t>Shotapen</t>
  </si>
  <si>
    <t>Kelamoxyl</t>
  </si>
  <si>
    <t>Vétrimoxin</t>
  </si>
  <si>
    <t>Florfénicol</t>
  </si>
  <si>
    <t xml:space="preserve">HUVEXXIN </t>
  </si>
  <si>
    <t>FK001</t>
  </si>
  <si>
    <t>FK002</t>
  </si>
  <si>
    <t>FK003</t>
  </si>
  <si>
    <t>FK004</t>
  </si>
  <si>
    <t>FK005</t>
  </si>
  <si>
    <t>FK006</t>
  </si>
  <si>
    <t>FK007</t>
  </si>
  <si>
    <t>FK008</t>
  </si>
  <si>
    <t>FK009</t>
  </si>
  <si>
    <t>FK010</t>
  </si>
  <si>
    <t>FK011</t>
  </si>
  <si>
    <t>FK012</t>
  </si>
  <si>
    <t>FK013</t>
  </si>
  <si>
    <t>FK014</t>
  </si>
  <si>
    <t>FK015</t>
  </si>
  <si>
    <t>FK016</t>
  </si>
  <si>
    <t>FK017</t>
  </si>
  <si>
    <t>FK018</t>
  </si>
  <si>
    <t>FK019</t>
  </si>
  <si>
    <t>FK020</t>
  </si>
  <si>
    <t>FK021</t>
  </si>
  <si>
    <t>FK022</t>
  </si>
  <si>
    <t>FK022b</t>
  </si>
  <si>
    <t>FK023</t>
  </si>
  <si>
    <t>FK024</t>
  </si>
  <si>
    <t>FK025</t>
  </si>
  <si>
    <t>FK026</t>
  </si>
  <si>
    <t>FK027</t>
  </si>
  <si>
    <t>FK028</t>
  </si>
  <si>
    <t>FK029</t>
  </si>
  <si>
    <t>FK030</t>
  </si>
  <si>
    <t>FK031</t>
  </si>
  <si>
    <t>FK032</t>
  </si>
  <si>
    <t>FK033</t>
  </si>
  <si>
    <t>FK034</t>
  </si>
  <si>
    <t>FK035</t>
  </si>
  <si>
    <t>FK036</t>
  </si>
  <si>
    <t>FK037</t>
  </si>
  <si>
    <t>FK038</t>
  </si>
  <si>
    <t>FK039</t>
  </si>
  <si>
    <t>FK040</t>
  </si>
  <si>
    <t>FK041</t>
  </si>
  <si>
    <t>FK042</t>
  </si>
  <si>
    <t>FK043</t>
  </si>
  <si>
    <t>FK044</t>
  </si>
  <si>
    <t>FK045</t>
  </si>
  <si>
    <t>FK046</t>
  </si>
  <si>
    <t>FK047</t>
  </si>
  <si>
    <t>FK048</t>
  </si>
  <si>
    <t>FK049</t>
  </si>
  <si>
    <t>FK050</t>
  </si>
  <si>
    <t>FK051</t>
  </si>
  <si>
    <t>FK052</t>
  </si>
  <si>
    <t>FK053</t>
  </si>
  <si>
    <t>FK054</t>
  </si>
  <si>
    <t>FK055</t>
  </si>
  <si>
    <t>FK056</t>
  </si>
  <si>
    <t>FK057</t>
  </si>
  <si>
    <t>FK058</t>
  </si>
  <si>
    <t>FK059</t>
  </si>
  <si>
    <t>FK060</t>
  </si>
  <si>
    <t>FK060b</t>
  </si>
  <si>
    <t>FK061</t>
  </si>
  <si>
    <t>FK062</t>
  </si>
  <si>
    <t>FK063</t>
  </si>
  <si>
    <t>FK064</t>
  </si>
  <si>
    <t>FK065</t>
  </si>
  <si>
    <t>FK066</t>
  </si>
  <si>
    <t>FK067</t>
  </si>
  <si>
    <t>FK068</t>
  </si>
  <si>
    <t>FK069</t>
  </si>
  <si>
    <t>FK070</t>
  </si>
  <si>
    <t>FK071</t>
  </si>
  <si>
    <t>FK072</t>
  </si>
  <si>
    <t>FK073</t>
  </si>
  <si>
    <t>FK074</t>
  </si>
  <si>
    <t>FK075</t>
  </si>
  <si>
    <t>FK076</t>
  </si>
  <si>
    <t>FK077</t>
  </si>
  <si>
    <t>FK078</t>
  </si>
  <si>
    <t>FK079</t>
  </si>
  <si>
    <t>FK080</t>
  </si>
  <si>
    <t>FK081</t>
  </si>
  <si>
    <t>FK082</t>
  </si>
  <si>
    <t>FK083</t>
  </si>
  <si>
    <t>FK084</t>
  </si>
  <si>
    <t>FK085</t>
  </si>
  <si>
    <t>FK086</t>
  </si>
  <si>
    <t>FK087</t>
  </si>
  <si>
    <t>Bovin</t>
  </si>
  <si>
    <t>Caprin</t>
  </si>
  <si>
    <t>Volaille</t>
  </si>
  <si>
    <t>Chien/chat</t>
  </si>
  <si>
    <t>Ovin/Caprin</t>
  </si>
  <si>
    <t>Autre animaux dans l'elevage</t>
  </si>
  <si>
    <t>Oiseau</t>
  </si>
  <si>
    <t>N.A</t>
  </si>
  <si>
    <t>Dynamique</t>
  </si>
  <si>
    <t>Nb_bandes</t>
  </si>
  <si>
    <t>Partiel</t>
  </si>
  <si>
    <t>Oui</t>
  </si>
  <si>
    <t>Duree_Quarantaine (jours)</t>
  </si>
  <si>
    <t>SDC, NDP</t>
  </si>
  <si>
    <t>Annuelle</t>
  </si>
  <si>
    <t>Frequence_atb (x/mois)</t>
  </si>
  <si>
    <t>Individuelle</t>
  </si>
  <si>
    <t>Elimination atb</t>
  </si>
  <si>
    <t>DASRI</t>
  </si>
  <si>
    <t>Alternance</t>
  </si>
  <si>
    <t>Statique</t>
  </si>
  <si>
    <t>Bovin, Caprin, Volaille</t>
  </si>
  <si>
    <t>HKC</t>
  </si>
  <si>
    <t>occsionnelle</t>
  </si>
  <si>
    <t>Sulfacycline</t>
  </si>
  <si>
    <t>atb_sulfamides</t>
  </si>
  <si>
    <t>Sanifarm</t>
  </si>
  <si>
    <t>Lypoclean</t>
  </si>
  <si>
    <t>Mixte</t>
  </si>
  <si>
    <t>Non</t>
  </si>
  <si>
    <t>NDP</t>
  </si>
  <si>
    <t>Bovin, Volaille</t>
  </si>
  <si>
    <t>Francisceas</t>
  </si>
  <si>
    <t>atb_Lincosamides</t>
  </si>
  <si>
    <t>Lincospectin</t>
  </si>
  <si>
    <t>atb_Pleuromutilines</t>
  </si>
  <si>
    <t>LABIMYCIN</t>
  </si>
  <si>
    <t>atb_Tétracyclines</t>
  </si>
  <si>
    <t>PHARMASIN</t>
  </si>
  <si>
    <t>atb_penicilline (Benzylpénicilline + Dihydrostreptomycine)
+ Dihydrostreptomycine)</t>
  </si>
  <si>
    <t>VETMULIN</t>
  </si>
  <si>
    <t>Fomax</t>
  </si>
  <si>
    <t>(CPPR)</t>
  </si>
  <si>
    <t>Ferme du Bonheur</t>
  </si>
  <si>
    <t>Halamide</t>
  </si>
  <si>
    <t>EAU</t>
  </si>
  <si>
    <t>Autre</t>
  </si>
  <si>
    <t>Spectragene, Vulcan, Sidving</t>
  </si>
  <si>
    <t>Decabase, Fomax</t>
  </si>
  <si>
    <t>NEW ST1</t>
  </si>
  <si>
    <t>Confiance-ST</t>
  </si>
  <si>
    <t>Non concluant</t>
  </si>
  <si>
    <t>enterobacter cloacae complex (enterobacter asburiae)</t>
  </si>
  <si>
    <t>enterobacter cloacae complex  (enterobacter roggenkampii)</t>
  </si>
  <si>
    <t>enterobacter cloacae complex (enterobacter ludwigii)</t>
  </si>
  <si>
    <t>Score_MALDI</t>
  </si>
  <si>
    <t>enterobacter cloacae complex (enterobacter bugandis)</t>
  </si>
  <si>
    <t>enterobacter cloacae complex (enterobacter hormaechei)</t>
  </si>
  <si>
    <t>Frequente</t>
  </si>
  <si>
    <t>+3</t>
  </si>
  <si>
    <t>1</t>
  </si>
  <si>
    <t>2 à 3</t>
  </si>
  <si>
    <t xml:space="preserve">Spectragene </t>
  </si>
  <si>
    <t>Age Charcutier (en semaine)</t>
  </si>
  <si>
    <t>CD20</t>
  </si>
  <si>
    <t>Cleanovea</t>
  </si>
  <si>
    <t>Retenue colinaire</t>
  </si>
  <si>
    <t>Spectragene ,Virocide</t>
  </si>
  <si>
    <t>Decabase</t>
  </si>
  <si>
    <t>Ravine</t>
  </si>
  <si>
    <t>Bovin, Canard, Volaille en pleine air</t>
  </si>
  <si>
    <t>Lapin</t>
  </si>
  <si>
    <t>Eau d'irrigation</t>
  </si>
  <si>
    <t>Equidé</t>
  </si>
  <si>
    <t>Patho_repro</t>
  </si>
  <si>
    <t xml:space="preserve">Fomax, </t>
  </si>
  <si>
    <t>Spectragene</t>
  </si>
  <si>
    <t>G7F</t>
  </si>
  <si>
    <t>Melosie</t>
  </si>
  <si>
    <t>Spectragene,Vircon,Virocide</t>
  </si>
  <si>
    <t>Decabase, Kenoran</t>
  </si>
  <si>
    <t>Eau de pluie</t>
  </si>
  <si>
    <t>Virocide</t>
  </si>
  <si>
    <t>Collectif</t>
  </si>
  <si>
    <t>Spectragene,CIP</t>
  </si>
  <si>
    <t>bassin colinaire</t>
  </si>
  <si>
    <t>Banobie</t>
  </si>
  <si>
    <t>Ruminant</t>
  </si>
  <si>
    <t>Vulcan</t>
  </si>
  <si>
    <t>Ecogerme</t>
  </si>
  <si>
    <t>Goldeo</t>
  </si>
  <si>
    <t>Canard</t>
  </si>
  <si>
    <t>oclean</t>
  </si>
  <si>
    <t>Goyavier</t>
  </si>
  <si>
    <t>Boiterie</t>
  </si>
  <si>
    <t>stalosan</t>
  </si>
  <si>
    <t>NDP, Goyavier</t>
  </si>
  <si>
    <t>?</t>
  </si>
  <si>
    <t>TH5</t>
  </si>
  <si>
    <t>HKC, Goyavier</t>
  </si>
  <si>
    <t>Spectragene, Hygiakill</t>
  </si>
  <si>
    <t>Volaille, Lapin</t>
  </si>
  <si>
    <t>TH5,Mephysto</t>
  </si>
  <si>
    <t>Decabase, Farmbase</t>
  </si>
  <si>
    <t>Farmbase</t>
  </si>
  <si>
    <t>v</t>
  </si>
  <si>
    <t>Virocide, G4F</t>
  </si>
  <si>
    <t>Virocide, G2F ,G3F,G7F</t>
  </si>
  <si>
    <t>NDP,  HKC</t>
  </si>
  <si>
    <t>EBE, St ROSE</t>
  </si>
  <si>
    <t>TH5, Autre</t>
  </si>
  <si>
    <t>NDP, Ferme du bonheur</t>
  </si>
  <si>
    <t>Thgold</t>
  </si>
  <si>
    <t>Eugène Provision</t>
  </si>
  <si>
    <t>Virocide, Hygiakill</t>
  </si>
  <si>
    <t>Damour inel; Julien elisabeth</t>
  </si>
  <si>
    <t>Spectragene, Halamid</t>
  </si>
  <si>
    <t>Pharmacox</t>
  </si>
  <si>
    <t>Spectragene,Vircon</t>
  </si>
  <si>
    <t>Melosie, Banobie</t>
  </si>
  <si>
    <t>Spectragene,Vircon,Vulcan, Cid20</t>
  </si>
  <si>
    <t>Hygiakill, Halamid</t>
  </si>
  <si>
    <t>Spectragene, G7F</t>
  </si>
  <si>
    <t>TH5,Mephysto, Vulcan, Spectragene</t>
  </si>
  <si>
    <t>Captage</t>
  </si>
  <si>
    <t>Vircon, Mephysto</t>
  </si>
  <si>
    <t>G5F, Vircon</t>
  </si>
  <si>
    <t>Multiplicateur</t>
  </si>
  <si>
    <t>Grondin Jeanick</t>
  </si>
  <si>
    <t>Fomax,</t>
  </si>
  <si>
    <t>Bassin de rétention</t>
  </si>
  <si>
    <t>G3F, G5F,Evogerme</t>
  </si>
  <si>
    <t>Spectragene, Evogerme</t>
  </si>
  <si>
    <t>Ecogerme, Farmacox</t>
  </si>
  <si>
    <t>Spectragene,  Farmacox</t>
  </si>
  <si>
    <t>Evogerme, Farmacox, Halamid</t>
  </si>
  <si>
    <t>Evoclean</t>
  </si>
  <si>
    <t>Péroquet</t>
  </si>
  <si>
    <t>EBE</t>
  </si>
  <si>
    <t>Banobie, EBE</t>
  </si>
  <si>
    <t>Decabase, Evoclean</t>
  </si>
  <si>
    <t>Spectragene,  Farmacox, Evogerme</t>
  </si>
  <si>
    <t>Les fleurs jaunes</t>
  </si>
  <si>
    <t>Farmacox, Evoclean, Halamid</t>
  </si>
  <si>
    <t>Insémination</t>
  </si>
  <si>
    <t>Grondin Jeanick, Les fleurs jaunes, Ravine du port</t>
  </si>
  <si>
    <t>Rivière</t>
  </si>
  <si>
    <t>62FP.B</t>
  </si>
  <si>
    <t>34MP.R</t>
  </si>
  <si>
    <t>55FP.B</t>
  </si>
  <si>
    <t>78Mfe.B</t>
  </si>
  <si>
    <t>contigs</t>
  </si>
  <si>
    <t>aadA1</t>
  </si>
  <si>
    <t>blaSHV-11</t>
  </si>
  <si>
    <t>qacL</t>
  </si>
  <si>
    <t>aadA2</t>
  </si>
  <si>
    <t>ant(3'')-IIa</t>
  </si>
  <si>
    <t>aph(3')-Ia</t>
  </si>
  <si>
    <t>blaADC</t>
  </si>
  <si>
    <t>blaCTX-M</t>
  </si>
  <si>
    <t>blaCTX-M-14</t>
  </si>
  <si>
    <t>blaOCH</t>
  </si>
  <si>
    <t>blaOKP-A-11</t>
  </si>
  <si>
    <t>blaOKP-B-2</t>
  </si>
  <si>
    <t>blaOXA</t>
  </si>
  <si>
    <t>blaOXY-1-9</t>
  </si>
  <si>
    <t>blaSHV-33</t>
  </si>
  <si>
    <t>catA1</t>
  </si>
  <si>
    <t>catA2</t>
  </si>
  <si>
    <t>cml</t>
  </si>
  <si>
    <t>cmlA1</t>
  </si>
  <si>
    <t>dfrA12</t>
  </si>
  <si>
    <t>oqxA3</t>
  </si>
  <si>
    <t>oqxB19</t>
  </si>
  <si>
    <t>qacEdelta1</t>
  </si>
  <si>
    <t>qnrB1</t>
  </si>
  <si>
    <t>sul1</t>
  </si>
  <si>
    <t>tet(D)</t>
  </si>
  <si>
    <t>34FP.R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</si>
</sst>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2"/>
      <color theme="1"/>
      <name val="Aptos Narrow"/>
      <family val="2"/>
      <scheme val="minor"/>
    </font>
    <font>
      <b/>
      <sz val="14"/>
      <color rgb="FF333333"/>
      <name val="Courier New"/>
      <family val="1"/>
    </font>
    <font>
      <sz val="8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0"/>
      <color indexed="8"/>
      <name val="Arial"/>
      <family val="2"/>
    </font>
    <font>
      <b/>
      <sz val="11"/>
      <color indexed="8"/>
      <name val="Times New Roman"/>
      <family val="1"/>
    </font>
    <font>
      <b/>
      <sz val="11"/>
      <color rgb="FF00B0F0"/>
      <name val="Times New Roman"/>
      <family val="1"/>
    </font>
    <font>
      <b/>
      <sz val="11"/>
      <name val="Times New Roman"/>
      <family val="1"/>
    </font>
    <font>
      <b/>
      <sz val="11"/>
      <color rgb="FF00B050"/>
      <name val="Times New Roman"/>
      <family val="1"/>
    </font>
    <font>
      <b/>
      <sz val="10"/>
      <name val="Arial"/>
      <family val="2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1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name val="Times New Roman"/>
      <family val="1"/>
    </font>
    <font>
      <b/>
      <sz val="10"/>
      <name val="Times New Roman"/>
      <family val="1"/>
    </font>
    <font>
      <b/>
      <sz val="8"/>
      <color indexed="8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B050"/>
      <name val="Times New Roman"/>
      <family val="1"/>
    </font>
    <font>
      <b/>
      <sz val="8"/>
      <color rgb="FF92D050"/>
      <name val="Times New Roman"/>
      <family val="1"/>
    </font>
    <font>
      <b/>
      <sz val="8"/>
      <color rgb="FF00B0F0"/>
      <name val="Times New Roman"/>
      <family val="1"/>
    </font>
    <font>
      <b/>
      <sz val="9"/>
      <color rgb="FF000000"/>
      <name val="Tahoma"/>
      <family val="2"/>
    </font>
    <font>
      <sz val="12"/>
      <color rgb="FF000000"/>
      <name val="Aptos Narrow"/>
      <family val="2"/>
      <scheme val="minor"/>
    </font>
    <font>
      <b/>
      <sz val="12"/>
      <color rgb="FFFFFFFF"/>
      <name val="Arial"/>
      <family val="2"/>
    </font>
    <font>
      <b/>
      <sz val="12"/>
      <color theme="1"/>
      <name val="Courier New"/>
      <family val="1"/>
    </font>
    <font>
      <b/>
      <sz val="12"/>
      <color theme="1"/>
      <name val="Arial"/>
      <family val="2"/>
    </font>
    <font>
      <b/>
      <sz val="14"/>
      <color theme="1"/>
      <name val="Courier New"/>
      <family val="1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Segoe UI"/>
    </font>
    <font>
      <sz val="12"/>
      <color rgb="FFFFFFFF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7" fillId="0" borderId="0"/>
    <xf numFmtId="0" fontId="17" fillId="0" borderId="0" applyNumberFormat="0" applyFill="0" applyBorder="0" applyAlignment="0" applyProtection="0"/>
    <xf numFmtId="0" fontId="36" fillId="0" borderId="0"/>
  </cellStyleXfs>
  <cellXfs count="251">
    <xf numFmtId="0" fontId="0" fillId="0" borderId="0" xfId="0"/>
    <xf numFmtId="0" fontId="1" fillId="0" borderId="1" xfId="0" applyFont="1" applyBorder="1"/>
    <xf numFmtId="14" fontId="0" fillId="0" borderId="0" xfId="0" applyNumberFormat="1"/>
    <xf numFmtId="0" fontId="3" fillId="0" borderId="0" xfId="1"/>
    <xf numFmtId="0" fontId="5" fillId="0" borderId="0" xfId="2" applyFont="1"/>
    <xf numFmtId="0" fontId="5" fillId="0" borderId="2" xfId="2" applyFont="1" applyBorder="1" applyAlignment="1">
      <alignment horizontal="center" vertical="center"/>
    </xf>
    <xf numFmtId="0" fontId="6" fillId="0" borderId="2" xfId="2" applyFont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8" fillId="4" borderId="2" xfId="3" applyFont="1" applyFill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11" fillId="5" borderId="2" xfId="3" applyFont="1" applyFill="1" applyBorder="1" applyAlignment="1">
      <alignment horizontal="center" vertical="center" wrapText="1"/>
    </xf>
    <xf numFmtId="0" fontId="8" fillId="6" borderId="2" xfId="3" applyFont="1" applyFill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8" fillId="7" borderId="2" xfId="3" applyFont="1" applyFill="1" applyBorder="1" applyAlignment="1">
      <alignment horizontal="center" vertical="center" wrapText="1"/>
    </xf>
    <xf numFmtId="0" fontId="13" fillId="0" borderId="2" xfId="3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0" fontId="8" fillId="8" borderId="2" xfId="3" applyFont="1" applyFill="1" applyBorder="1" applyAlignment="1">
      <alignment horizontal="center" vertical="center" wrapText="1"/>
    </xf>
    <xf numFmtId="0" fontId="8" fillId="9" borderId="2" xfId="3" applyFont="1" applyFill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/>
    </xf>
    <xf numFmtId="0" fontId="10" fillId="10" borderId="2" xfId="2" applyFont="1" applyFill="1" applyBorder="1" applyAlignment="1">
      <alignment horizontal="center" vertical="center" wrapText="1"/>
    </xf>
    <xf numFmtId="0" fontId="11" fillId="5" borderId="2" xfId="2" applyFont="1" applyFill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13" fillId="0" borderId="3" xfId="3" applyFont="1" applyBorder="1" applyAlignment="1">
      <alignment horizontal="center" vertical="center" wrapText="1"/>
    </xf>
    <xf numFmtId="0" fontId="8" fillId="10" borderId="3" xfId="3" applyFont="1" applyFill="1" applyBorder="1" applyAlignment="1">
      <alignment horizontal="center" vertical="center" wrapText="1"/>
    </xf>
    <xf numFmtId="0" fontId="8" fillId="11" borderId="2" xfId="3" applyFont="1" applyFill="1" applyBorder="1" applyAlignment="1">
      <alignment horizontal="center" vertical="center" wrapText="1"/>
    </xf>
    <xf numFmtId="0" fontId="8" fillId="11" borderId="3" xfId="3" applyFont="1" applyFill="1" applyBorder="1" applyAlignment="1">
      <alignment horizontal="center" vertical="center" wrapText="1"/>
    </xf>
    <xf numFmtId="0" fontId="8" fillId="12" borderId="2" xfId="3" applyFont="1" applyFill="1" applyBorder="1" applyAlignment="1">
      <alignment horizontal="center" vertical="center" wrapText="1"/>
    </xf>
    <xf numFmtId="0" fontId="8" fillId="13" borderId="2" xfId="3" applyFont="1" applyFill="1" applyBorder="1" applyAlignment="1">
      <alignment horizontal="center" vertical="center" wrapText="1"/>
    </xf>
    <xf numFmtId="0" fontId="12" fillId="14" borderId="0" xfId="2" applyFont="1" applyFill="1" applyAlignment="1">
      <alignment horizontal="center" vertical="center" wrapText="1"/>
    </xf>
    <xf numFmtId="0" fontId="10" fillId="15" borderId="2" xfId="2" applyFont="1" applyFill="1" applyBorder="1" applyAlignment="1">
      <alignment horizontal="center" vertical="center" wrapText="1"/>
    </xf>
    <xf numFmtId="0" fontId="8" fillId="15" borderId="2" xfId="3" applyFont="1" applyFill="1" applyBorder="1" applyAlignment="1">
      <alignment horizontal="center" vertical="center" wrapText="1"/>
    </xf>
    <xf numFmtId="0" fontId="11" fillId="15" borderId="2" xfId="2" applyFont="1" applyFill="1" applyBorder="1" applyAlignment="1">
      <alignment horizontal="center" vertical="center" wrapText="1"/>
    </xf>
    <xf numFmtId="0" fontId="11" fillId="15" borderId="2" xfId="3" applyFont="1" applyFill="1" applyBorder="1" applyAlignment="1">
      <alignment horizontal="center" vertical="center" wrapText="1"/>
    </xf>
    <xf numFmtId="0" fontId="10" fillId="6" borderId="2" xfId="2" applyFont="1" applyFill="1" applyBorder="1" applyAlignment="1">
      <alignment horizontal="center" vertical="center" wrapText="1"/>
    </xf>
    <xf numFmtId="0" fontId="5" fillId="0" borderId="2" xfId="2" applyFont="1" applyBorder="1"/>
    <xf numFmtId="0" fontId="11" fillId="5" borderId="2" xfId="2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 wrapText="1"/>
    </xf>
    <xf numFmtId="0" fontId="13" fillId="15" borderId="2" xfId="3" applyFont="1" applyFill="1" applyBorder="1" applyAlignment="1">
      <alignment horizontal="center" vertical="center" wrapText="1"/>
    </xf>
    <xf numFmtId="0" fontId="10" fillId="5" borderId="2" xfId="2" applyFont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5" fillId="15" borderId="0" xfId="2" applyFont="1" applyFill="1"/>
    <xf numFmtId="0" fontId="12" fillId="6" borderId="0" xfId="2" applyFont="1" applyFill="1" applyAlignment="1">
      <alignment horizontal="center" vertical="center" wrapText="1"/>
    </xf>
    <xf numFmtId="0" fontId="13" fillId="6" borderId="2" xfId="3" applyFont="1" applyFill="1" applyBorder="1" applyAlignment="1">
      <alignment horizontal="center" vertical="center" wrapText="1"/>
    </xf>
    <xf numFmtId="0" fontId="6" fillId="0" borderId="0" xfId="2" applyFont="1"/>
    <xf numFmtId="3" fontId="6" fillId="0" borderId="2" xfId="2" applyNumberFormat="1" applyFont="1" applyBorder="1" applyAlignment="1">
      <alignment horizontal="center" vertical="center"/>
    </xf>
    <xf numFmtId="0" fontId="10" fillId="10" borderId="2" xfId="3" applyFont="1" applyFill="1" applyBorder="1" applyAlignment="1">
      <alignment horizontal="center" vertical="center" wrapText="1"/>
    </xf>
    <xf numFmtId="0" fontId="10" fillId="0" borderId="2" xfId="3" applyFont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 wrapText="1"/>
    </xf>
    <xf numFmtId="0" fontId="12" fillId="15" borderId="0" xfId="2" applyFont="1" applyFill="1" applyAlignment="1">
      <alignment horizontal="center" vertical="center" wrapText="1"/>
    </xf>
    <xf numFmtId="0" fontId="16" fillId="15" borderId="2" xfId="2" applyFont="1" applyFill="1" applyBorder="1" applyAlignment="1">
      <alignment horizontal="center" vertical="center" wrapText="1"/>
    </xf>
    <xf numFmtId="0" fontId="9" fillId="15" borderId="2" xfId="2" applyFont="1" applyFill="1" applyBorder="1" applyAlignment="1">
      <alignment horizontal="center" vertical="center" wrapText="1"/>
    </xf>
    <xf numFmtId="0" fontId="6" fillId="10" borderId="2" xfId="2" applyFont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/>
    </xf>
    <xf numFmtId="0" fontId="17" fillId="0" borderId="2" xfId="4" applyBorder="1" applyAlignment="1">
      <alignment horizontal="center" vertical="center"/>
    </xf>
    <xf numFmtId="1" fontId="8" fillId="0" borderId="2" xfId="3" applyNumberFormat="1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/>
    </xf>
    <xf numFmtId="14" fontId="10" fillId="0" borderId="2" xfId="2" applyNumberFormat="1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0" fontId="10" fillId="16" borderId="2" xfId="2" applyFont="1" applyFill="1" applyBorder="1" applyAlignment="1">
      <alignment horizontal="center" vertical="center" wrapText="1"/>
    </xf>
    <xf numFmtId="0" fontId="17" fillId="0" borderId="2" xfId="4" applyBorder="1" applyAlignment="1">
      <alignment horizontal="center" vertical="center" wrapText="1"/>
    </xf>
    <xf numFmtId="0" fontId="10" fillId="15" borderId="2" xfId="3" applyFont="1" applyFill="1" applyBorder="1" applyAlignment="1">
      <alignment horizontal="center" vertical="center" wrapText="1"/>
    </xf>
    <xf numFmtId="0" fontId="6" fillId="6" borderId="2" xfId="2" applyFont="1" applyFill="1" applyBorder="1" applyAlignment="1">
      <alignment horizontal="center" vertical="center" wrapText="1"/>
    </xf>
    <xf numFmtId="0" fontId="10" fillId="14" borderId="2" xfId="2" applyFont="1" applyFill="1" applyBorder="1" applyAlignment="1">
      <alignment horizontal="center" vertical="center" wrapText="1"/>
    </xf>
    <xf numFmtId="0" fontId="8" fillId="14" borderId="2" xfId="3" applyFont="1" applyFill="1" applyBorder="1" applyAlignment="1">
      <alignment horizontal="center" vertical="center" wrapText="1"/>
    </xf>
    <xf numFmtId="0" fontId="13" fillId="14" borderId="2" xfId="3" applyFont="1" applyFill="1" applyBorder="1" applyAlignment="1">
      <alignment horizontal="center" vertical="center" wrapText="1"/>
    </xf>
    <xf numFmtId="0" fontId="8" fillId="6" borderId="2" xfId="3" applyFont="1" applyFill="1" applyBorder="1" applyAlignment="1">
      <alignment horizontal="center" vertical="center"/>
    </xf>
    <xf numFmtId="0" fontId="19" fillId="0" borderId="2" xfId="2" applyFont="1" applyBorder="1" applyAlignment="1">
      <alignment horizontal="center" vertical="center" wrapText="1"/>
    </xf>
    <xf numFmtId="0" fontId="20" fillId="0" borderId="2" xfId="3" applyFont="1" applyBorder="1" applyAlignment="1">
      <alignment horizontal="center" vertical="center" wrapText="1"/>
    </xf>
    <xf numFmtId="0" fontId="0" fillId="0" borderId="4" xfId="0" applyBorder="1"/>
    <xf numFmtId="14" fontId="0" fillId="0" borderId="4" xfId="0" applyNumberFormat="1" applyBorder="1"/>
    <xf numFmtId="0" fontId="0" fillId="0" borderId="5" xfId="0" applyBorder="1"/>
    <xf numFmtId="14" fontId="0" fillId="0" borderId="5" xfId="0" applyNumberFormat="1" applyBorder="1"/>
    <xf numFmtId="0" fontId="3" fillId="0" borderId="4" xfId="1" applyBorder="1"/>
    <xf numFmtId="14" fontId="26" fillId="0" borderId="4" xfId="0" applyNumberFormat="1" applyFont="1" applyBorder="1"/>
    <xf numFmtId="0" fontId="27" fillId="0" borderId="0" xfId="0" applyFont="1"/>
    <xf numFmtId="0" fontId="28" fillId="0" borderId="0" xfId="0" applyFont="1"/>
    <xf numFmtId="0" fontId="30" fillId="0" borderId="1" xfId="0" applyFont="1" applyBorder="1"/>
    <xf numFmtId="0" fontId="29" fillId="0" borderId="0" xfId="0" applyFont="1"/>
    <xf numFmtId="0" fontId="31" fillId="0" borderId="5" xfId="0" applyFont="1" applyBorder="1"/>
    <xf numFmtId="0" fontId="31" fillId="0" borderId="0" xfId="0" applyFont="1"/>
    <xf numFmtId="0" fontId="31" fillId="0" borderId="4" xfId="0" applyFont="1" applyBorder="1"/>
    <xf numFmtId="0" fontId="30" fillId="0" borderId="0" xfId="0" applyFont="1"/>
    <xf numFmtId="0" fontId="33" fillId="13" borderId="0" xfId="0" applyFont="1" applyFill="1"/>
    <xf numFmtId="0" fontId="33" fillId="17" borderId="0" xfId="0" applyFont="1" applyFill="1"/>
    <xf numFmtId="0" fontId="33" fillId="7" borderId="0" xfId="0" applyFont="1" applyFill="1"/>
    <xf numFmtId="0" fontId="0" fillId="0" borderId="6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17" borderId="0" xfId="0" applyFill="1"/>
    <xf numFmtId="0" fontId="0" fillId="17" borderId="4" xfId="0" applyFill="1" applyBorder="1"/>
    <xf numFmtId="0" fontId="31" fillId="17" borderId="0" xfId="0" applyFont="1" applyFill="1"/>
    <xf numFmtId="0" fontId="32" fillId="13" borderId="0" xfId="1" applyFont="1" applyFill="1" applyBorder="1"/>
    <xf numFmtId="0" fontId="31" fillId="13" borderId="0" xfId="0" applyFont="1" applyFill="1"/>
    <xf numFmtId="0" fontId="29" fillId="13" borderId="0" xfId="0" applyFont="1" applyFill="1"/>
    <xf numFmtId="0" fontId="29" fillId="17" borderId="0" xfId="0" applyFont="1" applyFill="1"/>
    <xf numFmtId="0" fontId="0" fillId="13" borderId="0" xfId="0" applyFill="1"/>
    <xf numFmtId="0" fontId="0" fillId="7" borderId="0" xfId="0" applyFill="1"/>
    <xf numFmtId="0" fontId="29" fillId="7" borderId="0" xfId="0" applyFont="1" applyFill="1"/>
    <xf numFmtId="0" fontId="32" fillId="0" borderId="4" xfId="1" applyFont="1" applyFill="1" applyBorder="1"/>
    <xf numFmtId="0" fontId="32" fillId="0" borderId="0" xfId="1" applyFont="1" applyFill="1" applyBorder="1"/>
    <xf numFmtId="0" fontId="0" fillId="18" borderId="0" xfId="0" applyFill="1"/>
    <xf numFmtId="0" fontId="33" fillId="13" borderId="4" xfId="0" applyFont="1" applyFill="1" applyBorder="1"/>
    <xf numFmtId="0" fontId="33" fillId="17" borderId="4" xfId="0" applyFont="1" applyFill="1" applyBorder="1"/>
    <xf numFmtId="0" fontId="33" fillId="7" borderId="4" xfId="0" applyFont="1" applyFill="1" applyBorder="1"/>
    <xf numFmtId="0" fontId="34" fillId="13" borderId="4" xfId="0" applyFont="1" applyFill="1" applyBorder="1"/>
    <xf numFmtId="0" fontId="34" fillId="17" borderId="4" xfId="0" applyFont="1" applyFill="1" applyBorder="1"/>
    <xf numFmtId="0" fontId="34" fillId="7" borderId="4" xfId="0" applyFont="1" applyFill="1" applyBorder="1"/>
    <xf numFmtId="0" fontId="0" fillId="13" borderId="4" xfId="0" applyFill="1" applyBorder="1"/>
    <xf numFmtId="0" fontId="0" fillId="7" borderId="4" xfId="0" applyFill="1" applyBorder="1"/>
    <xf numFmtId="0" fontId="29" fillId="13" borderId="4" xfId="0" applyFont="1" applyFill="1" applyBorder="1"/>
    <xf numFmtId="0" fontId="29" fillId="17" borderId="4" xfId="0" applyFont="1" applyFill="1" applyBorder="1"/>
    <xf numFmtId="0" fontId="0" fillId="18" borderId="4" xfId="0" applyFill="1" applyBorder="1"/>
    <xf numFmtId="0" fontId="29" fillId="7" borderId="4" xfId="0" applyFont="1" applyFill="1" applyBorder="1"/>
    <xf numFmtId="14" fontId="0" fillId="0" borderId="6" xfId="0" applyNumberFormat="1" applyBorder="1"/>
    <xf numFmtId="0" fontId="31" fillId="0" borderId="6" xfId="0" applyFont="1" applyBorder="1"/>
    <xf numFmtId="0" fontId="26" fillId="0" borderId="4" xfId="0" applyFont="1" applyBorder="1"/>
    <xf numFmtId="0" fontId="26" fillId="0" borderId="0" xfId="0" applyFont="1"/>
    <xf numFmtId="0" fontId="33" fillId="0" borderId="0" xfId="0" applyFont="1"/>
    <xf numFmtId="0" fontId="33" fillId="0" borderId="4" xfId="0" applyFont="1" applyBorder="1"/>
    <xf numFmtId="0" fontId="34" fillId="0" borderId="4" xfId="0" applyFont="1" applyBorder="1"/>
    <xf numFmtId="0" fontId="34" fillId="0" borderId="0" xfId="0" applyFont="1"/>
    <xf numFmtId="0" fontId="29" fillId="0" borderId="4" xfId="0" applyFont="1" applyBorder="1"/>
    <xf numFmtId="0" fontId="29" fillId="0" borderId="6" xfId="0" applyFont="1" applyBorder="1"/>
    <xf numFmtId="0" fontId="0" fillId="6" borderId="4" xfId="0" applyFill="1" applyBorder="1"/>
    <xf numFmtId="0" fontId="0" fillId="19" borderId="4" xfId="0" applyFill="1" applyBorder="1"/>
    <xf numFmtId="0" fontId="0" fillId="19" borderId="0" xfId="0" applyFill="1"/>
    <xf numFmtId="0" fontId="36" fillId="0" borderId="0" xfId="5"/>
    <xf numFmtId="0" fontId="36" fillId="20" borderId="0" xfId="5" applyFill="1"/>
    <xf numFmtId="0" fontId="36" fillId="17" borderId="0" xfId="5" applyFill="1"/>
    <xf numFmtId="0" fontId="36" fillId="21" borderId="0" xfId="5" applyFill="1"/>
    <xf numFmtId="0" fontId="36" fillId="22" borderId="0" xfId="5" applyFill="1"/>
    <xf numFmtId="0" fontId="36" fillId="4" borderId="0" xfId="5" applyFill="1"/>
    <xf numFmtId="0" fontId="36" fillId="23" borderId="0" xfId="5" applyFill="1"/>
    <xf numFmtId="0" fontId="0" fillId="6" borderId="0" xfId="0" applyFill="1"/>
    <xf numFmtId="0" fontId="35" fillId="0" borderId="0" xfId="1" applyFont="1"/>
    <xf numFmtId="0" fontId="37" fillId="0" borderId="0" xfId="0" applyFont="1" applyAlignment="1">
      <alignment vertical="center"/>
    </xf>
    <xf numFmtId="0" fontId="37" fillId="24" borderId="2" xfId="0" applyFont="1" applyFill="1" applyBorder="1" applyAlignment="1">
      <alignment horizontal="center" vertical="center"/>
    </xf>
    <xf numFmtId="0" fontId="37" fillId="25" borderId="2" xfId="0" applyFont="1" applyFill="1" applyBorder="1" applyAlignment="1">
      <alignment horizontal="center" vertical="center"/>
    </xf>
    <xf numFmtId="0" fontId="37" fillId="25" borderId="11" xfId="0" applyFont="1" applyFill="1" applyBorder="1" applyAlignment="1">
      <alignment horizontal="center" vertical="center"/>
    </xf>
    <xf numFmtId="0" fontId="37" fillId="26" borderId="11" xfId="0" applyFont="1" applyFill="1" applyBorder="1" applyAlignment="1">
      <alignment horizontal="center" vertical="center"/>
    </xf>
    <xf numFmtId="0" fontId="0" fillId="24" borderId="10" xfId="0" applyFill="1" applyBorder="1"/>
    <xf numFmtId="0" fontId="0" fillId="24" borderId="2" xfId="0" applyFill="1" applyBorder="1"/>
    <xf numFmtId="0" fontId="0" fillId="24" borderId="11" xfId="0" applyFill="1" applyBorder="1"/>
    <xf numFmtId="0" fontId="0" fillId="25" borderId="10" xfId="0" applyFill="1" applyBorder="1"/>
    <xf numFmtId="0" fontId="0" fillId="25" borderId="2" xfId="0" applyFill="1" applyBorder="1"/>
    <xf numFmtId="0" fontId="0" fillId="25" borderId="11" xfId="0" applyFill="1" applyBorder="1"/>
    <xf numFmtId="0" fontId="0" fillId="26" borderId="10" xfId="0" applyFill="1" applyBorder="1"/>
    <xf numFmtId="0" fontId="0" fillId="26" borderId="2" xfId="0" applyFill="1" applyBorder="1"/>
    <xf numFmtId="0" fontId="0" fillId="26" borderId="11" xfId="0" applyFill="1" applyBorder="1"/>
    <xf numFmtId="0" fontId="0" fillId="27" borderId="10" xfId="0" applyFill="1" applyBorder="1"/>
    <xf numFmtId="0" fontId="0" fillId="27" borderId="2" xfId="0" applyFill="1" applyBorder="1"/>
    <xf numFmtId="0" fontId="0" fillId="16" borderId="10" xfId="0" applyFill="1" applyBorder="1"/>
    <xf numFmtId="0" fontId="0" fillId="16" borderId="2" xfId="0" applyFill="1" applyBorder="1"/>
    <xf numFmtId="0" fontId="0" fillId="28" borderId="10" xfId="0" applyFill="1" applyBorder="1"/>
    <xf numFmtId="0" fontId="0" fillId="28" borderId="2" xfId="0" applyFill="1" applyBorder="1"/>
    <xf numFmtId="0" fontId="0" fillId="28" borderId="11" xfId="0" applyFill="1" applyBorder="1"/>
    <xf numFmtId="0" fontId="0" fillId="26" borderId="12" xfId="0" applyFill="1" applyBorder="1"/>
    <xf numFmtId="14" fontId="0" fillId="24" borderId="2" xfId="0" applyNumberFormat="1" applyFill="1" applyBorder="1"/>
    <xf numFmtId="0" fontId="37" fillId="24" borderId="1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25" borderId="2" xfId="0" applyFont="1" applyFill="1" applyBorder="1" applyAlignment="1">
      <alignment horizontal="right" vertical="center"/>
    </xf>
    <xf numFmtId="0" fontId="0" fillId="25" borderId="2" xfId="0" quotePrefix="1" applyFill="1" applyBorder="1"/>
    <xf numFmtId="0" fontId="0" fillId="25" borderId="20" xfId="0" applyFill="1" applyBorder="1"/>
    <xf numFmtId="0" fontId="31" fillId="28" borderId="2" xfId="0" applyFont="1" applyFill="1" applyBorder="1"/>
    <xf numFmtId="0" fontId="31" fillId="25" borderId="2" xfId="0" applyFont="1" applyFill="1" applyBorder="1"/>
    <xf numFmtId="0" fontId="0" fillId="27" borderId="11" xfId="0" applyFill="1" applyBorder="1"/>
    <xf numFmtId="0" fontId="31" fillId="25" borderId="11" xfId="0" applyFont="1" applyFill="1" applyBorder="1"/>
    <xf numFmtId="0" fontId="0" fillId="16" borderId="20" xfId="0" applyFill="1" applyBorder="1"/>
    <xf numFmtId="0" fontId="31" fillId="27" borderId="2" xfId="0" applyFont="1" applyFill="1" applyBorder="1"/>
    <xf numFmtId="0" fontId="31" fillId="26" borderId="2" xfId="0" applyFont="1" applyFill="1" applyBorder="1"/>
    <xf numFmtId="0" fontId="31" fillId="27" borderId="11" xfId="0" applyFont="1" applyFill="1" applyBorder="1"/>
    <xf numFmtId="0" fontId="31" fillId="16" borderId="2" xfId="0" applyFont="1" applyFill="1" applyBorder="1"/>
    <xf numFmtId="0" fontId="31" fillId="28" borderId="11" xfId="0" applyFont="1" applyFill="1" applyBorder="1"/>
    <xf numFmtId="0" fontId="31" fillId="24" borderId="2" xfId="0" applyFont="1" applyFill="1" applyBorder="1"/>
    <xf numFmtId="14" fontId="31" fillId="24" borderId="2" xfId="0" applyNumberFormat="1" applyFont="1" applyFill="1" applyBorder="1"/>
    <xf numFmtId="0" fontId="5" fillId="0" borderId="0" xfId="0" applyFont="1" applyAlignment="1">
      <alignment horizontal="center"/>
    </xf>
    <xf numFmtId="0" fontId="36" fillId="6" borderId="0" xfId="5" applyFill="1"/>
    <xf numFmtId="0" fontId="39" fillId="0" borderId="0" xfId="0" applyFont="1"/>
    <xf numFmtId="0" fontId="37" fillId="24" borderId="7" xfId="0" applyFont="1" applyFill="1" applyBorder="1" applyAlignment="1">
      <alignment horizontal="center" vertical="center"/>
    </xf>
    <xf numFmtId="0" fontId="37" fillId="24" borderId="8" xfId="0" applyFont="1" applyFill="1" applyBorder="1" applyAlignment="1">
      <alignment horizontal="center" vertical="center"/>
    </xf>
    <xf numFmtId="0" fontId="37" fillId="24" borderId="13" xfId="0" applyFont="1" applyFill="1" applyBorder="1" applyAlignment="1">
      <alignment horizontal="center" vertical="center"/>
    </xf>
    <xf numFmtId="0" fontId="37" fillId="24" borderId="9" xfId="0" applyFont="1" applyFill="1" applyBorder="1" applyAlignment="1">
      <alignment horizontal="center" vertical="center"/>
    </xf>
    <xf numFmtId="0" fontId="37" fillId="25" borderId="7" xfId="0" applyFont="1" applyFill="1" applyBorder="1" applyAlignment="1">
      <alignment horizontal="center" vertical="center"/>
    </xf>
    <xf numFmtId="0" fontId="37" fillId="25" borderId="8" xfId="0" applyFont="1" applyFill="1" applyBorder="1" applyAlignment="1">
      <alignment horizontal="center" vertical="center"/>
    </xf>
    <xf numFmtId="0" fontId="37" fillId="25" borderId="9" xfId="0" applyFont="1" applyFill="1" applyBorder="1" applyAlignment="1">
      <alignment horizontal="center" vertical="center"/>
    </xf>
    <xf numFmtId="0" fontId="37" fillId="26" borderId="7" xfId="0" applyFont="1" applyFill="1" applyBorder="1" applyAlignment="1">
      <alignment horizontal="center" vertical="center"/>
    </xf>
    <xf numFmtId="0" fontId="37" fillId="26" borderId="8" xfId="0" applyFont="1" applyFill="1" applyBorder="1" applyAlignment="1">
      <alignment horizontal="center" vertical="center"/>
    </xf>
    <xf numFmtId="0" fontId="37" fillId="26" borderId="13" xfId="0" applyFont="1" applyFill="1" applyBorder="1" applyAlignment="1">
      <alignment horizontal="center" vertical="center"/>
    </xf>
    <xf numFmtId="0" fontId="37" fillId="26" borderId="9" xfId="0" applyFont="1" applyFill="1" applyBorder="1" applyAlignment="1">
      <alignment horizontal="center" vertical="center"/>
    </xf>
    <xf numFmtId="0" fontId="37" fillId="27" borderId="7" xfId="0" applyFont="1" applyFill="1" applyBorder="1" applyAlignment="1">
      <alignment horizontal="center" vertical="center"/>
    </xf>
    <xf numFmtId="0" fontId="37" fillId="27" borderId="8" xfId="0" applyFont="1" applyFill="1" applyBorder="1" applyAlignment="1">
      <alignment horizontal="center" vertical="center"/>
    </xf>
    <xf numFmtId="0" fontId="37" fillId="16" borderId="7" xfId="0" applyFont="1" applyFill="1" applyBorder="1" applyAlignment="1">
      <alignment horizontal="center" vertical="center"/>
    </xf>
    <xf numFmtId="0" fontId="37" fillId="16" borderId="8" xfId="0" applyFont="1" applyFill="1" applyBorder="1" applyAlignment="1">
      <alignment horizontal="center" vertical="center"/>
    </xf>
    <xf numFmtId="0" fontId="37" fillId="25" borderId="21" xfId="0" applyFont="1" applyFill="1" applyBorder="1" applyAlignment="1">
      <alignment horizontal="center" vertical="center"/>
    </xf>
    <xf numFmtId="0" fontId="37" fillId="25" borderId="22" xfId="0" applyFont="1" applyFill="1" applyBorder="1" applyAlignment="1">
      <alignment horizontal="center" vertical="center"/>
    </xf>
    <xf numFmtId="0" fontId="38" fillId="26" borderId="7" xfId="0" applyFont="1" applyFill="1" applyBorder="1" applyAlignment="1">
      <alignment horizontal="center"/>
    </xf>
    <xf numFmtId="0" fontId="38" fillId="26" borderId="8" xfId="0" applyFont="1" applyFill="1" applyBorder="1" applyAlignment="1">
      <alignment horizontal="center"/>
    </xf>
    <xf numFmtId="0" fontId="38" fillId="26" borderId="9" xfId="0" applyFont="1" applyFill="1" applyBorder="1" applyAlignment="1">
      <alignment horizontal="center"/>
    </xf>
    <xf numFmtId="0" fontId="37" fillId="25" borderId="2" xfId="0" applyFont="1" applyFill="1" applyBorder="1" applyAlignment="1">
      <alignment horizontal="center" vertical="center"/>
    </xf>
    <xf numFmtId="0" fontId="37" fillId="28" borderId="7" xfId="0" applyFont="1" applyFill="1" applyBorder="1" applyAlignment="1">
      <alignment horizontal="center" vertical="center"/>
    </xf>
    <xf numFmtId="0" fontId="37" fillId="28" borderId="8" xfId="0" applyFont="1" applyFill="1" applyBorder="1" applyAlignment="1">
      <alignment horizontal="center" vertical="center"/>
    </xf>
    <xf numFmtId="0" fontId="37" fillId="28" borderId="13" xfId="0" applyFont="1" applyFill="1" applyBorder="1" applyAlignment="1">
      <alignment horizontal="center" vertical="center"/>
    </xf>
    <xf numFmtId="0" fontId="37" fillId="28" borderId="9" xfId="0" applyFont="1" applyFill="1" applyBorder="1" applyAlignment="1">
      <alignment horizontal="center" vertical="center"/>
    </xf>
    <xf numFmtId="0" fontId="37" fillId="26" borderId="2" xfId="0" applyFont="1" applyFill="1" applyBorder="1" applyAlignment="1">
      <alignment horizontal="center" vertical="center"/>
    </xf>
    <xf numFmtId="0" fontId="37" fillId="26" borderId="11" xfId="0" applyFont="1" applyFill="1" applyBorder="1" applyAlignment="1">
      <alignment horizontal="center" vertical="center"/>
    </xf>
    <xf numFmtId="0" fontId="37" fillId="25" borderId="11" xfId="0" applyFont="1" applyFill="1" applyBorder="1" applyAlignment="1">
      <alignment horizontal="center" vertical="center"/>
    </xf>
    <xf numFmtId="0" fontId="37" fillId="26" borderId="10" xfId="0" applyFont="1" applyFill="1" applyBorder="1" applyAlignment="1">
      <alignment horizontal="center" vertical="center"/>
    </xf>
    <xf numFmtId="0" fontId="38" fillId="26" borderId="17" xfId="0" applyFont="1" applyFill="1" applyBorder="1" applyAlignment="1">
      <alignment horizontal="center" vertical="center"/>
    </xf>
    <xf numFmtId="0" fontId="38" fillId="26" borderId="18" xfId="0" applyFont="1" applyFill="1" applyBorder="1" applyAlignment="1">
      <alignment horizontal="center" vertical="center"/>
    </xf>
    <xf numFmtId="0" fontId="37" fillId="24" borderId="10" xfId="0" applyFont="1" applyFill="1" applyBorder="1" applyAlignment="1">
      <alignment horizontal="center" vertical="center"/>
    </xf>
    <xf numFmtId="0" fontId="37" fillId="24" borderId="2" xfId="0" applyFont="1" applyFill="1" applyBorder="1" applyAlignment="1">
      <alignment horizontal="center" vertical="center"/>
    </xf>
    <xf numFmtId="0" fontId="37" fillId="25" borderId="10" xfId="0" applyFont="1" applyFill="1" applyBorder="1" applyAlignment="1">
      <alignment horizontal="center" vertical="center"/>
    </xf>
    <xf numFmtId="0" fontId="37" fillId="24" borderId="11" xfId="0" applyFont="1" applyFill="1" applyBorder="1" applyAlignment="1">
      <alignment horizontal="center" vertical="center"/>
    </xf>
    <xf numFmtId="0" fontId="37" fillId="24" borderId="20" xfId="0" applyFont="1" applyFill="1" applyBorder="1" applyAlignment="1">
      <alignment horizontal="center" vertical="center"/>
    </xf>
    <xf numFmtId="0" fontId="37" fillId="24" borderId="14" xfId="0" applyFont="1" applyFill="1" applyBorder="1" applyAlignment="1">
      <alignment horizontal="center" vertical="center"/>
    </xf>
    <xf numFmtId="0" fontId="37" fillId="24" borderId="15" xfId="0" applyFont="1" applyFill="1" applyBorder="1" applyAlignment="1">
      <alignment horizontal="center" vertical="center"/>
    </xf>
    <xf numFmtId="0" fontId="37" fillId="26" borderId="5" xfId="0" applyFont="1" applyFill="1" applyBorder="1" applyAlignment="1">
      <alignment horizontal="center" vertical="center"/>
    </xf>
    <xf numFmtId="0" fontId="37" fillId="26" borderId="19" xfId="0" applyFont="1" applyFill="1" applyBorder="1" applyAlignment="1">
      <alignment horizontal="center" vertical="center"/>
    </xf>
    <xf numFmtId="0" fontId="37" fillId="25" borderId="17" xfId="0" applyFont="1" applyFill="1" applyBorder="1" applyAlignment="1">
      <alignment horizontal="center" vertical="center"/>
    </xf>
    <xf numFmtId="0" fontId="37" fillId="25" borderId="18" xfId="0" applyFont="1" applyFill="1" applyBorder="1" applyAlignment="1">
      <alignment horizontal="center" vertical="center"/>
    </xf>
    <xf numFmtId="0" fontId="37" fillId="28" borderId="3" xfId="0" applyFont="1" applyFill="1" applyBorder="1" applyAlignment="1">
      <alignment horizontal="center" vertical="center"/>
    </xf>
    <xf numFmtId="0" fontId="37" fillId="28" borderId="16" xfId="0" applyFont="1" applyFill="1" applyBorder="1" applyAlignment="1">
      <alignment horizontal="center" vertical="center"/>
    </xf>
    <xf numFmtId="0" fontId="37" fillId="28" borderId="14" xfId="0" applyFont="1" applyFill="1" applyBorder="1" applyAlignment="1">
      <alignment horizontal="center" vertical="center"/>
    </xf>
    <xf numFmtId="0" fontId="37" fillId="28" borderId="15" xfId="0" applyFont="1" applyFill="1" applyBorder="1" applyAlignment="1">
      <alignment horizontal="center" vertical="center"/>
    </xf>
    <xf numFmtId="0" fontId="37" fillId="16" borderId="17" xfId="0" applyFont="1" applyFill="1" applyBorder="1" applyAlignment="1">
      <alignment horizontal="center" vertical="center"/>
    </xf>
    <xf numFmtId="0" fontId="37" fillId="16" borderId="18" xfId="0" applyFont="1" applyFill="1" applyBorder="1" applyAlignment="1">
      <alignment horizontal="center" vertical="center"/>
    </xf>
    <xf numFmtId="0" fontId="37" fillId="16" borderId="3" xfId="0" applyFont="1" applyFill="1" applyBorder="1" applyAlignment="1">
      <alignment horizontal="center" vertical="center"/>
    </xf>
    <xf numFmtId="0" fontId="37" fillId="16" borderId="16" xfId="0" applyFont="1" applyFill="1" applyBorder="1" applyAlignment="1">
      <alignment horizontal="center" vertical="center"/>
    </xf>
    <xf numFmtId="0" fontId="37" fillId="28" borderId="17" xfId="0" applyFont="1" applyFill="1" applyBorder="1" applyAlignment="1">
      <alignment horizontal="center" vertical="center"/>
    </xf>
    <xf numFmtId="0" fontId="37" fillId="28" borderId="18" xfId="0" applyFont="1" applyFill="1" applyBorder="1" applyAlignment="1">
      <alignment horizontal="center" vertical="center"/>
    </xf>
    <xf numFmtId="0" fontId="37" fillId="27" borderId="3" xfId="0" applyFont="1" applyFill="1" applyBorder="1" applyAlignment="1">
      <alignment horizontal="center" vertical="center"/>
    </xf>
    <xf numFmtId="0" fontId="37" fillId="27" borderId="16" xfId="0" applyFont="1" applyFill="1" applyBorder="1" applyAlignment="1">
      <alignment horizontal="center" vertical="center"/>
    </xf>
    <xf numFmtId="0" fontId="37" fillId="27" borderId="17" xfId="0" applyFont="1" applyFill="1" applyBorder="1" applyAlignment="1">
      <alignment horizontal="center" vertical="center"/>
    </xf>
    <xf numFmtId="0" fontId="37" fillId="27" borderId="18" xfId="0" applyFont="1" applyFill="1" applyBorder="1" applyAlignment="1">
      <alignment horizontal="center" vertical="center"/>
    </xf>
    <xf numFmtId="0" fontId="38" fillId="26" borderId="14" xfId="0" applyFont="1" applyFill="1" applyBorder="1" applyAlignment="1">
      <alignment horizontal="center" vertical="center"/>
    </xf>
    <xf numFmtId="0" fontId="38" fillId="26" borderId="15" xfId="0" applyFont="1" applyFill="1" applyBorder="1" applyAlignment="1">
      <alignment horizontal="center" vertical="center"/>
    </xf>
    <xf numFmtId="0" fontId="37" fillId="25" borderId="3" xfId="0" applyFont="1" applyFill="1" applyBorder="1" applyAlignment="1">
      <alignment horizontal="center" vertical="center"/>
    </xf>
    <xf numFmtId="0" fontId="37" fillId="25" borderId="16" xfId="0" applyFont="1" applyFill="1" applyBorder="1" applyAlignment="1">
      <alignment horizontal="center" vertical="center"/>
    </xf>
    <xf numFmtId="0" fontId="37" fillId="25" borderId="11" xfId="0" applyFont="1" applyFill="1" applyBorder="1" applyAlignment="1">
      <alignment horizontal="center" vertical="center" wrapText="1"/>
    </xf>
    <xf numFmtId="0" fontId="37" fillId="25" borderId="5" xfId="0" applyFont="1" applyFill="1" applyBorder="1" applyAlignment="1">
      <alignment horizontal="center" vertical="center"/>
    </xf>
    <xf numFmtId="0" fontId="37" fillId="25" borderId="20" xfId="0" applyFont="1" applyFill="1" applyBorder="1" applyAlignment="1">
      <alignment horizontal="center" vertical="center"/>
    </xf>
    <xf numFmtId="0" fontId="38" fillId="26" borderId="3" xfId="0" applyFont="1" applyFill="1" applyBorder="1" applyAlignment="1">
      <alignment horizontal="center" vertical="center"/>
    </xf>
    <xf numFmtId="0" fontId="38" fillId="26" borderId="16" xfId="0" applyFont="1" applyFill="1" applyBorder="1" applyAlignment="1">
      <alignment horizontal="center" vertical="center"/>
    </xf>
    <xf numFmtId="0" fontId="37" fillId="25" borderId="23" xfId="0" applyFont="1" applyFill="1" applyBorder="1" applyAlignment="1">
      <alignment horizontal="center" vertical="center"/>
    </xf>
    <xf numFmtId="0" fontId="37" fillId="25" borderId="19" xfId="0" applyFont="1" applyFill="1" applyBorder="1" applyAlignment="1">
      <alignment horizontal="center" vertical="center"/>
    </xf>
  </cellXfs>
  <cellStyles count="6">
    <cellStyle name="Lien hypertexte" xfId="1" builtinId="8"/>
    <cellStyle name="Lien hypertexte 2" xfId="4" xr:uid="{47AE7361-EA18-5542-A063-70E73F4D6D8D}"/>
    <cellStyle name="Normal" xfId="0" builtinId="0"/>
    <cellStyle name="Normal 2" xfId="2" xr:uid="{1E6D42CF-5A31-3D46-B147-BA7C44646D58}"/>
    <cellStyle name="Normal 3" xfId="5" xr:uid="{06AAB20B-68F8-1045-B641-86371A9943D8}"/>
    <cellStyle name="Normal_AdresseEleveur" xfId="3" xr:uid="{F66B2272-C972-184F-90B5-E1417366B6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DUCATION/BioGET/Stage%20M2/STAGE/DATA.xlsm" TargetMode="External"/><Relationship Id="rId2" Type="http://schemas.openxmlformats.org/officeDocument/2006/relationships/externalLinkPath" Target="/Users/faycalkhetim/Desktop/EDUCATION/BioGET/Stage%20M2/STAGE/DATA.xlsm" TargetMode="External"/><Relationship Id="rId1" Type="http://schemas.openxmlformats.org/officeDocument/2006/relationships/externalLinkPath" Target="/Users/faycalkhetim/Desktop/EDUCATION/BioGET/Stage%20M2/STAGE/DA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sultat"/>
      <sheetName val="Elevage"/>
      <sheetName val="AAA"/>
    </sheetNames>
    <sheetDataSet>
      <sheetData sheetId="0" refreshError="1"/>
      <sheetData sheetId="1" refreshError="1">
        <row r="1">
          <cell r="A1" t="str">
            <v>prelevement_id</v>
          </cell>
          <cell r="B1" t="str">
            <v>date_prelevement  </v>
          </cell>
        </row>
        <row r="2">
          <cell r="A2" t="str">
            <v>FK-001</v>
          </cell>
          <cell r="B2">
            <v>46092</v>
          </cell>
        </row>
        <row r="3">
          <cell r="A3" t="str">
            <v>FK-002</v>
          </cell>
          <cell r="B3">
            <v>46092</v>
          </cell>
        </row>
        <row r="4">
          <cell r="A4" t="str">
            <v>FK-003</v>
          </cell>
          <cell r="B4">
            <v>46094</v>
          </cell>
        </row>
        <row r="5">
          <cell r="A5" t="str">
            <v>FK-004</v>
          </cell>
          <cell r="B5">
            <v>46099</v>
          </cell>
        </row>
        <row r="6">
          <cell r="A6" t="str">
            <v>FK-005</v>
          </cell>
          <cell r="B6">
            <v>46106</v>
          </cell>
        </row>
        <row r="7">
          <cell r="A7" t="str">
            <v>FK-006</v>
          </cell>
          <cell r="B7">
            <v>46106</v>
          </cell>
        </row>
        <row r="8">
          <cell r="A8" t="str">
            <v>FK-007</v>
          </cell>
          <cell r="B8">
            <v>46111</v>
          </cell>
        </row>
        <row r="9">
          <cell r="A9" t="str">
            <v>FK-008</v>
          </cell>
          <cell r="B9">
            <v>46111</v>
          </cell>
        </row>
        <row r="10">
          <cell r="A10" t="str">
            <v>FK-009</v>
          </cell>
          <cell r="B10">
            <v>46111</v>
          </cell>
        </row>
        <row r="11">
          <cell r="A11" t="str">
            <v>FK-010</v>
          </cell>
          <cell r="B11">
            <v>46111</v>
          </cell>
        </row>
        <row r="12">
          <cell r="A12" t="str">
            <v>FK-011</v>
          </cell>
          <cell r="B12">
            <v>46112</v>
          </cell>
        </row>
        <row r="13">
          <cell r="A13" t="str">
            <v>FK-012</v>
          </cell>
          <cell r="B13">
            <v>46112</v>
          </cell>
        </row>
        <row r="14">
          <cell r="A14" t="str">
            <v>FK-013</v>
          </cell>
          <cell r="B14">
            <v>46112</v>
          </cell>
        </row>
        <row r="15">
          <cell r="A15" t="str">
            <v>FK-014</v>
          </cell>
          <cell r="B15">
            <v>46112</v>
          </cell>
        </row>
        <row r="16">
          <cell r="A16" t="str">
            <v>FK-015</v>
          </cell>
          <cell r="B16">
            <v>46113</v>
          </cell>
        </row>
        <row r="17">
          <cell r="A17" t="str">
            <v>FK-016</v>
          </cell>
          <cell r="B17">
            <v>46113</v>
          </cell>
        </row>
        <row r="18">
          <cell r="A18" t="str">
            <v>FK-017</v>
          </cell>
          <cell r="B18">
            <v>46113</v>
          </cell>
        </row>
        <row r="19">
          <cell r="A19" t="str">
            <v>FK-018</v>
          </cell>
          <cell r="B19">
            <v>46114</v>
          </cell>
        </row>
        <row r="20">
          <cell r="A20" t="str">
            <v>FK-019</v>
          </cell>
          <cell r="B20">
            <v>46114</v>
          </cell>
        </row>
        <row r="21">
          <cell r="A21" t="str">
            <v>FK-020</v>
          </cell>
          <cell r="B21">
            <v>46114</v>
          </cell>
        </row>
        <row r="22">
          <cell r="A22" t="str">
            <v>FK-021</v>
          </cell>
          <cell r="B22">
            <v>46114</v>
          </cell>
        </row>
        <row r="23">
          <cell r="A23" t="str">
            <v>FK-022</v>
          </cell>
          <cell r="B23">
            <v>46120</v>
          </cell>
        </row>
        <row r="24">
          <cell r="A24" t="str">
            <v>FK-022b</v>
          </cell>
          <cell r="B24">
            <v>46121</v>
          </cell>
        </row>
        <row r="25">
          <cell r="A25" t="str">
            <v>FK-023</v>
          </cell>
          <cell r="B25">
            <v>46121</v>
          </cell>
        </row>
        <row r="26">
          <cell r="A26" t="str">
            <v>FK-024</v>
          </cell>
          <cell r="B26">
            <v>46121</v>
          </cell>
        </row>
        <row r="27">
          <cell r="A27" t="str">
            <v>FK-025</v>
          </cell>
          <cell r="B27">
            <v>46121</v>
          </cell>
        </row>
        <row r="28">
          <cell r="A28" t="str">
            <v>FK-026</v>
          </cell>
          <cell r="B28">
            <v>46122</v>
          </cell>
        </row>
        <row r="29">
          <cell r="A29" t="str">
            <v>FK-027</v>
          </cell>
          <cell r="B29">
            <v>46122</v>
          </cell>
        </row>
        <row r="30">
          <cell r="A30" t="str">
            <v>FK-028</v>
          </cell>
          <cell r="B30">
            <v>46122</v>
          </cell>
        </row>
        <row r="31">
          <cell r="A31" t="str">
            <v>FK-029</v>
          </cell>
          <cell r="B31">
            <v>46122</v>
          </cell>
        </row>
        <row r="32">
          <cell r="A32" t="str">
            <v>FK-029b</v>
          </cell>
          <cell r="B32">
            <v>46154</v>
          </cell>
        </row>
        <row r="33">
          <cell r="A33" t="str">
            <v>FK-030</v>
          </cell>
          <cell r="B33">
            <v>46122</v>
          </cell>
        </row>
        <row r="34">
          <cell r="A34" t="str">
            <v>FK-031</v>
          </cell>
          <cell r="B34">
            <v>46125</v>
          </cell>
        </row>
        <row r="35">
          <cell r="A35" t="str">
            <v>FK-032</v>
          </cell>
          <cell r="B35">
            <v>46125</v>
          </cell>
        </row>
        <row r="36">
          <cell r="A36" t="str">
            <v>FK-033</v>
          </cell>
          <cell r="B36">
            <v>46128</v>
          </cell>
        </row>
        <row r="37">
          <cell r="A37" t="str">
            <v>FK-034</v>
          </cell>
          <cell r="B37">
            <v>46128</v>
          </cell>
        </row>
        <row r="38">
          <cell r="A38" t="str">
            <v>FK-035</v>
          </cell>
          <cell r="B38">
            <v>46128</v>
          </cell>
        </row>
        <row r="39">
          <cell r="A39" t="str">
            <v>FK-036</v>
          </cell>
          <cell r="B39">
            <v>46128</v>
          </cell>
        </row>
        <row r="40">
          <cell r="A40" t="str">
            <v>FK-037</v>
          </cell>
          <cell r="B40">
            <v>46129</v>
          </cell>
        </row>
        <row r="41">
          <cell r="A41" t="str">
            <v>FK-038</v>
          </cell>
          <cell r="B41">
            <v>46129</v>
          </cell>
        </row>
        <row r="42">
          <cell r="A42" t="str">
            <v>FK-039</v>
          </cell>
          <cell r="B42">
            <v>46139</v>
          </cell>
        </row>
        <row r="43">
          <cell r="A43" t="str">
            <v>FK-040</v>
          </cell>
          <cell r="B43">
            <v>46139</v>
          </cell>
        </row>
        <row r="44">
          <cell r="A44" t="str">
            <v>FK-041</v>
          </cell>
          <cell r="B44">
            <v>46139</v>
          </cell>
        </row>
        <row r="45">
          <cell r="A45" t="str">
            <v>FK-042</v>
          </cell>
          <cell r="B45">
            <v>46139</v>
          </cell>
        </row>
        <row r="46">
          <cell r="A46" t="str">
            <v>FK-043</v>
          </cell>
          <cell r="B46">
            <v>46139</v>
          </cell>
        </row>
        <row r="47">
          <cell r="A47" t="str">
            <v>FK-044</v>
          </cell>
          <cell r="B47">
            <v>46141</v>
          </cell>
        </row>
        <row r="48">
          <cell r="A48" t="str">
            <v>FK-045</v>
          </cell>
          <cell r="B48">
            <v>46141</v>
          </cell>
        </row>
        <row r="49">
          <cell r="A49" t="str">
            <v>FK-046</v>
          </cell>
          <cell r="B49">
            <v>46141</v>
          </cell>
        </row>
        <row r="50">
          <cell r="A50" t="str">
            <v>FK-047</v>
          </cell>
          <cell r="B50">
            <v>46141</v>
          </cell>
        </row>
        <row r="51">
          <cell r="A51" t="str">
            <v>FK-048</v>
          </cell>
          <cell r="B51">
            <v>46141</v>
          </cell>
        </row>
        <row r="52">
          <cell r="A52" t="str">
            <v>FK-049</v>
          </cell>
          <cell r="B52">
            <v>46148</v>
          </cell>
        </row>
        <row r="53">
          <cell r="A53" t="str">
            <v>FK-050</v>
          </cell>
          <cell r="B53">
            <v>46147</v>
          </cell>
        </row>
        <row r="54">
          <cell r="A54" t="str">
            <v>FK-051</v>
          </cell>
          <cell r="B54">
            <v>46147</v>
          </cell>
        </row>
        <row r="55">
          <cell r="A55" t="str">
            <v>FK-052</v>
          </cell>
          <cell r="B55">
            <v>46147</v>
          </cell>
        </row>
        <row r="56">
          <cell r="A56" t="str">
            <v>FK-053</v>
          </cell>
          <cell r="B56">
            <v>46147</v>
          </cell>
        </row>
        <row r="57">
          <cell r="A57" t="str">
            <v>FK-054</v>
          </cell>
          <cell r="B57">
            <v>46147</v>
          </cell>
        </row>
        <row r="58">
          <cell r="A58" t="str">
            <v>FK-055</v>
          </cell>
          <cell r="B58">
            <v>46148</v>
          </cell>
        </row>
        <row r="59">
          <cell r="A59" t="str">
            <v>FK-056</v>
          </cell>
          <cell r="B59">
            <v>46148</v>
          </cell>
        </row>
        <row r="60">
          <cell r="A60" t="str">
            <v>FK-057</v>
          </cell>
          <cell r="B60">
            <v>46148</v>
          </cell>
        </row>
        <row r="61">
          <cell r="A61" t="str">
            <v>FK-058</v>
          </cell>
          <cell r="B61">
            <v>46149</v>
          </cell>
        </row>
        <row r="62">
          <cell r="A62" t="str">
            <v>FK-059</v>
          </cell>
          <cell r="B62">
            <v>46149</v>
          </cell>
        </row>
        <row r="63">
          <cell r="A63" t="str">
            <v>FK-060</v>
          </cell>
          <cell r="B63">
            <v>46149</v>
          </cell>
        </row>
        <row r="64">
          <cell r="A64" t="str">
            <v>FK-060b</v>
          </cell>
          <cell r="B64">
            <v>46153</v>
          </cell>
        </row>
        <row r="65">
          <cell r="A65" t="str">
            <v>FK-061</v>
          </cell>
          <cell r="B65">
            <v>46153</v>
          </cell>
        </row>
        <row r="66">
          <cell r="A66" t="str">
            <v>FK-062</v>
          </cell>
          <cell r="B66">
            <v>46153</v>
          </cell>
        </row>
        <row r="67">
          <cell r="A67" t="str">
            <v>FK-063</v>
          </cell>
          <cell r="B67">
            <v>46153</v>
          </cell>
        </row>
        <row r="68">
          <cell r="A68" t="str">
            <v>FK-064</v>
          </cell>
          <cell r="B68">
            <v>46153</v>
          </cell>
        </row>
        <row r="69">
          <cell r="A69" t="str">
            <v>FK-065</v>
          </cell>
          <cell r="B69">
            <v>46154</v>
          </cell>
        </row>
        <row r="70">
          <cell r="A70" t="str">
            <v>FK-066</v>
          </cell>
          <cell r="B70">
            <v>46154</v>
          </cell>
        </row>
        <row r="71">
          <cell r="A71" t="str">
            <v>FK-067</v>
          </cell>
          <cell r="B71">
            <v>46154</v>
          </cell>
        </row>
        <row r="72">
          <cell r="A72" t="str">
            <v>FK-068</v>
          </cell>
          <cell r="B72">
            <v>46154</v>
          </cell>
        </row>
        <row r="73">
          <cell r="A73" t="str">
            <v>FK-069</v>
          </cell>
          <cell r="B73">
            <v>46154</v>
          </cell>
        </row>
        <row r="74">
          <cell r="A74" t="str">
            <v>FK-070</v>
          </cell>
          <cell r="B74">
            <v>46154</v>
          </cell>
        </row>
        <row r="75">
          <cell r="A75" t="str">
            <v>FK-071</v>
          </cell>
          <cell r="B75">
            <v>46154</v>
          </cell>
        </row>
        <row r="76">
          <cell r="A76" t="str">
            <v>FK-072</v>
          </cell>
          <cell r="B76">
            <v>46155</v>
          </cell>
        </row>
        <row r="77">
          <cell r="A77" t="str">
            <v>FK-073</v>
          </cell>
          <cell r="B77">
            <v>46155</v>
          </cell>
        </row>
        <row r="78">
          <cell r="A78" t="str">
            <v>FK-074</v>
          </cell>
          <cell r="B78">
            <v>46155</v>
          </cell>
        </row>
        <row r="79">
          <cell r="A79" t="str">
            <v>FK-075</v>
          </cell>
          <cell r="B79">
            <v>46141</v>
          </cell>
        </row>
        <row r="80">
          <cell r="A80" t="str">
            <v>FK-075b</v>
          </cell>
          <cell r="B80">
            <v>46141</v>
          </cell>
        </row>
        <row r="81">
          <cell r="A81" t="str">
            <v>FK-076</v>
          </cell>
          <cell r="B81">
            <v>46141</v>
          </cell>
        </row>
        <row r="82">
          <cell r="A82" t="str">
            <v>FK-077</v>
          </cell>
          <cell r="B82">
            <v>46148</v>
          </cell>
        </row>
        <row r="83">
          <cell r="A83" t="str">
            <v>FK-078</v>
          </cell>
          <cell r="B83">
            <v>46157</v>
          </cell>
        </row>
        <row r="84">
          <cell r="A84" t="str">
            <v>FK-079</v>
          </cell>
          <cell r="B84">
            <v>46147</v>
          </cell>
        </row>
        <row r="85">
          <cell r="A85" t="str">
            <v>FK-080</v>
          </cell>
          <cell r="B85">
            <v>46148</v>
          </cell>
        </row>
        <row r="86">
          <cell r="A86" t="str">
            <v>FK-081</v>
          </cell>
          <cell r="B86">
            <v>46147</v>
          </cell>
        </row>
        <row r="87">
          <cell r="A87" t="str">
            <v>FK-082</v>
          </cell>
          <cell r="B87">
            <v>46169</v>
          </cell>
        </row>
        <row r="88">
          <cell r="A88" t="str">
            <v>FK-083</v>
          </cell>
          <cell r="B88">
            <v>46169</v>
          </cell>
        </row>
        <row r="89">
          <cell r="A89" t="str">
            <v>FK-084</v>
          </cell>
          <cell r="B89">
            <v>46170</v>
          </cell>
        </row>
        <row r="90">
          <cell r="A90" t="str">
            <v>FK-085</v>
          </cell>
          <cell r="B90">
            <v>46141</v>
          </cell>
        </row>
        <row r="91">
          <cell r="A91" t="str">
            <v>FK-086</v>
          </cell>
          <cell r="B91">
            <v>46140</v>
          </cell>
        </row>
        <row r="92">
          <cell r="A92" t="str">
            <v>FK-087</v>
          </cell>
          <cell r="B92">
            <v>46140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exploitationrobert@gmail.com" TargetMode="External"/><Relationship Id="rId18" Type="http://schemas.openxmlformats.org/officeDocument/2006/relationships/hyperlink" Target="mailto:l.cadet583@laposte.net" TargetMode="External"/><Relationship Id="rId26" Type="http://schemas.openxmlformats.org/officeDocument/2006/relationships/hyperlink" Target="mailto:earlgrondin@gmail.com" TargetMode="External"/><Relationship Id="rId3" Type="http://schemas.openxmlformats.org/officeDocument/2006/relationships/hyperlink" Target="mailto:admi.3pc@gmail.com" TargetMode="External"/><Relationship Id="rId21" Type="http://schemas.openxmlformats.org/officeDocument/2006/relationships/hyperlink" Target="mailto:lebon.elise@wanadoo" TargetMode="External"/><Relationship Id="rId7" Type="http://schemas.openxmlformats.org/officeDocument/2006/relationships/hyperlink" Target="mailto:lauretpierre111@gmail.com" TargetMode="External"/><Relationship Id="rId12" Type="http://schemas.openxmlformats.org/officeDocument/2006/relationships/hyperlink" Target="mailto:emiliemaillot.86@gmail.com" TargetMode="External"/><Relationship Id="rId17" Type="http://schemas.openxmlformats.org/officeDocument/2006/relationships/hyperlink" Target="mailto:maud97480@hotmail.fr" TargetMode="External"/><Relationship Id="rId25" Type="http://schemas.openxmlformats.org/officeDocument/2006/relationships/hyperlink" Target="mailto:spgrandilet@orange.fr" TargetMode="External"/><Relationship Id="rId33" Type="http://schemas.openxmlformats.org/officeDocument/2006/relationships/hyperlink" Target="mailto:lrolland@cppr.fr" TargetMode="External"/><Relationship Id="rId2" Type="http://schemas.openxmlformats.org/officeDocument/2006/relationships/hyperlink" Target="mailto:sceaamelia@gmail.com" TargetMode="External"/><Relationship Id="rId16" Type="http://schemas.openxmlformats.org/officeDocument/2006/relationships/hyperlink" Target="mailto:earl.grondin@gmail.com" TargetMode="External"/><Relationship Id="rId20" Type="http://schemas.openxmlformats.org/officeDocument/2006/relationships/hyperlink" Target="mailto:chantalechrist@gmail.com" TargetMode="External"/><Relationship Id="rId29" Type="http://schemas.openxmlformats.org/officeDocument/2006/relationships/hyperlink" Target="mailto:payet.corrine@gmail.com" TargetMode="External"/><Relationship Id="rId1" Type="http://schemas.openxmlformats.org/officeDocument/2006/relationships/hyperlink" Target="mailto:frederic.hoareau333@gmail.com" TargetMode="External"/><Relationship Id="rId6" Type="http://schemas.openxmlformats.org/officeDocument/2006/relationships/hyperlink" Target="mailto:yvanboyer974@gmail.com" TargetMode="External"/><Relationship Id="rId11" Type="http://schemas.openxmlformats.org/officeDocument/2006/relationships/hyperlink" Target="mailto:lesabeilles97412@gmail.com" TargetMode="External"/><Relationship Id="rId24" Type="http://schemas.openxmlformats.org/officeDocument/2006/relationships/hyperlink" Target="mailto:Renaldnourry@gmail.com" TargetMode="External"/><Relationship Id="rId32" Type="http://schemas.openxmlformats.org/officeDocument/2006/relationships/hyperlink" Target="mailto:rdm26@wanadoo.fr" TargetMode="External"/><Relationship Id="rId5" Type="http://schemas.openxmlformats.org/officeDocument/2006/relationships/hyperlink" Target="mailto:earltoutlebon@hotmail.com" TargetMode="External"/><Relationship Id="rId15" Type="http://schemas.openxmlformats.org/officeDocument/2006/relationships/hyperlink" Target="mailto:gaeclpds@gmail.com" TargetMode="External"/><Relationship Id="rId23" Type="http://schemas.openxmlformats.org/officeDocument/2006/relationships/hyperlink" Target="mailto:begue.henri974@gmail.com" TargetMode="External"/><Relationship Id="rId28" Type="http://schemas.openxmlformats.org/officeDocument/2006/relationships/hyperlink" Target="mailto:secretariat@earlppg.com" TargetMode="External"/><Relationship Id="rId10" Type="http://schemas.openxmlformats.org/officeDocument/2006/relationships/hyperlink" Target="mailto:kms_mouniama@hotmail.fr" TargetMode="External"/><Relationship Id="rId19" Type="http://schemas.openxmlformats.org/officeDocument/2006/relationships/hyperlink" Target="mailto:gaecbassinplat@gmail.com" TargetMode="External"/><Relationship Id="rId31" Type="http://schemas.openxmlformats.org/officeDocument/2006/relationships/hyperlink" Target="mailto:guillaume_sellea@hotmail.fr" TargetMode="External"/><Relationship Id="rId4" Type="http://schemas.openxmlformats.org/officeDocument/2006/relationships/hyperlink" Target="mailto:florianetienne974@gmail.com" TargetMode="External"/><Relationship Id="rId9" Type="http://schemas.openxmlformats.org/officeDocument/2006/relationships/hyperlink" Target="mailto:seusseyannick@gmail.com" TargetMode="External"/><Relationship Id="rId14" Type="http://schemas.openxmlformats.org/officeDocument/2006/relationships/hyperlink" Target="mailto:maletvivianne@gmail.com" TargetMode="External"/><Relationship Id="rId22" Type="http://schemas.openxmlformats.org/officeDocument/2006/relationships/hyperlink" Target="mailto:armouet.billy@gmail.com" TargetMode="External"/><Relationship Id="rId27" Type="http://schemas.openxmlformats.org/officeDocument/2006/relationships/hyperlink" Target="mailto:secretariat@earlppg.com" TargetMode="External"/><Relationship Id="rId30" Type="http://schemas.openxmlformats.org/officeDocument/2006/relationships/hyperlink" Target="mailto:ganthiea@gmail.com" TargetMode="External"/><Relationship Id="rId8" Type="http://schemas.openxmlformats.org/officeDocument/2006/relationships/hyperlink" Target="mailto:berazor974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ieblandine.hoareau@gmail.com" TargetMode="External"/><Relationship Id="rId1" Type="http://schemas.openxmlformats.org/officeDocument/2006/relationships/hyperlink" Target="mailto:earl-latitoufarm@outlook.fr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B348-359F-104C-9358-6C60A5E30FF9}">
  <sheetPr codeName="Feuil1"/>
  <dimension ref="A1:AL302"/>
  <sheetViews>
    <sheetView topLeftCell="I1" zoomScale="75" workbookViewId="0">
      <selection activeCell="Q239" sqref="Q239"/>
    </sheetView>
  </sheetViews>
  <sheetFormatPr baseColWidth="10" defaultRowHeight="16" x14ac:dyDescent="0.2"/>
  <cols>
    <col min="1" max="2" width="14.5" customWidth="1"/>
    <col min="3" max="3" width="17.33203125" customWidth="1"/>
    <col min="4" max="4" width="12" customWidth="1"/>
    <col min="5" max="6" width="23.6640625" style="2" customWidth="1"/>
    <col min="7" max="8" width="12.5" customWidth="1"/>
    <col min="13" max="13" width="14.83203125" customWidth="1"/>
    <col min="14" max="14" width="9.33203125" customWidth="1"/>
    <col min="15" max="15" width="7.6640625" customWidth="1"/>
    <col min="16" max="16" width="29.83203125" customWidth="1"/>
    <col min="17" max="17" width="20.5" customWidth="1"/>
    <col min="18" max="18" width="17.83203125" customWidth="1"/>
    <col min="19" max="19" width="14.33203125" customWidth="1"/>
    <col min="20" max="20" width="14.6640625" customWidth="1"/>
    <col min="21" max="21" width="8.83203125" bestFit="1" customWidth="1"/>
    <col min="22" max="29" width="8.83203125" style="82" customWidth="1"/>
  </cols>
  <sheetData>
    <row r="1" spans="1:38" ht="19" x14ac:dyDescent="0.25">
      <c r="A1" s="86" t="s">
        <v>941</v>
      </c>
      <c r="B1" s="86" t="str">
        <f>[1]Elevage!A1</f>
        <v>prelevement_id</v>
      </c>
      <c r="C1" s="1" t="s">
        <v>17</v>
      </c>
      <c r="D1" s="81" t="s">
        <v>19</v>
      </c>
      <c r="E1" s="81" t="s">
        <v>965</v>
      </c>
      <c r="F1" s="81" t="s">
        <v>1</v>
      </c>
      <c r="G1" s="81" t="s">
        <v>2</v>
      </c>
      <c r="H1" s="86" t="s">
        <v>944</v>
      </c>
      <c r="I1" s="80" t="s">
        <v>945</v>
      </c>
      <c r="J1" s="80" t="s">
        <v>946</v>
      </c>
      <c r="K1" s="80" t="s">
        <v>947</v>
      </c>
      <c r="L1" s="82" t="s">
        <v>948</v>
      </c>
      <c r="M1" s="80" t="s">
        <v>943</v>
      </c>
      <c r="N1" s="82" t="s">
        <v>949</v>
      </c>
      <c r="O1" s="82" t="s">
        <v>950</v>
      </c>
      <c r="P1" s="82" t="s">
        <v>951</v>
      </c>
      <c r="Q1" s="82" t="s">
        <v>952</v>
      </c>
      <c r="R1" s="82" t="s">
        <v>953</v>
      </c>
      <c r="S1" s="82" t="s">
        <v>954</v>
      </c>
      <c r="T1" s="82" t="s">
        <v>955</v>
      </c>
      <c r="U1" s="82" t="s">
        <v>956</v>
      </c>
      <c r="V1" s="82" t="s">
        <v>957</v>
      </c>
      <c r="W1" s="82" t="s">
        <v>958</v>
      </c>
      <c r="X1" s="82" t="s">
        <v>959</v>
      </c>
      <c r="Y1" s="82" t="s">
        <v>960</v>
      </c>
      <c r="Z1" s="82" t="s">
        <v>961</v>
      </c>
      <c r="AA1" s="82" t="s">
        <v>962</v>
      </c>
      <c r="AB1" s="82" t="s">
        <v>974</v>
      </c>
      <c r="AC1" s="82" t="s">
        <v>963</v>
      </c>
      <c r="AD1" s="82" t="s">
        <v>964</v>
      </c>
      <c r="AE1" s="82" t="s">
        <v>967</v>
      </c>
      <c r="AF1" s="82" t="s">
        <v>968</v>
      </c>
      <c r="AG1" s="82" t="s">
        <v>969</v>
      </c>
      <c r="AH1" s="82" t="s">
        <v>970</v>
      </c>
      <c r="AI1" s="82" t="s">
        <v>971</v>
      </c>
      <c r="AJ1" s="82" t="s">
        <v>972</v>
      </c>
      <c r="AK1" s="79"/>
      <c r="AL1" s="79" t="s">
        <v>964</v>
      </c>
    </row>
    <row r="2" spans="1:38" hidden="1" x14ac:dyDescent="0.2">
      <c r="A2" t="s">
        <v>942</v>
      </c>
      <c r="B2" t="str">
        <f>[1]Elevage!A2</f>
        <v>FK-001</v>
      </c>
      <c r="C2" t="s">
        <v>29</v>
      </c>
      <c r="D2" t="s">
        <v>32</v>
      </c>
      <c r="E2" s="2" t="str">
        <f>B2&amp;IF(D2="charcutier","M",IF(D2="cochette","F",""))&amp;IF(C2="Pédichiffe","p",IF(C2="Ecouvillon","e",IF(C2="Feces","f","")))</f>
        <v>FK-001Mp</v>
      </c>
      <c r="F2" s="2">
        <f>_xlfn.XLOOKUP(B2,[1]Elevage!A:A,[1]Elevage!B:B)</f>
        <v>46092</v>
      </c>
      <c r="G2" t="s">
        <v>33</v>
      </c>
      <c r="H2">
        <f>IF(AND(I2=0,K2=0),0,1)</f>
        <v>0</v>
      </c>
      <c r="I2" s="84">
        <v>0</v>
      </c>
      <c r="J2" s="85" t="s">
        <v>966</v>
      </c>
      <c r="K2" s="84">
        <v>0</v>
      </c>
      <c r="L2" s="84" t="s">
        <v>966</v>
      </c>
      <c r="M2" s="84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E2" s="79"/>
      <c r="AF2" s="79"/>
      <c r="AG2" s="79"/>
      <c r="AH2" s="79"/>
      <c r="AI2" s="79"/>
      <c r="AJ2">
        <v>0</v>
      </c>
      <c r="AK2" s="79">
        <v>1</v>
      </c>
      <c r="AL2" s="79" t="s">
        <v>964</v>
      </c>
    </row>
    <row r="3" spans="1:38" s="75" customFormat="1" hidden="1" x14ac:dyDescent="0.2">
      <c r="A3" s="75" t="s">
        <v>942</v>
      </c>
      <c r="B3" s="75" t="str">
        <f>[1]Elevage!A3</f>
        <v>FK-002</v>
      </c>
      <c r="C3" s="75" t="s">
        <v>29</v>
      </c>
      <c r="D3" s="75" t="s">
        <v>32</v>
      </c>
      <c r="E3" s="76" t="str">
        <f t="shared" ref="E3:E69" si="0">B3&amp;IF(D3="charcutier","M",IF(D3="cochette","F",""))&amp;IF(C3="Pédichiffe","p",IF(C3="Ecouvillon","e",IF(C3="Feces","f","")))</f>
        <v>FK-002Mp</v>
      </c>
      <c r="F3" s="76">
        <f>_xlfn.XLOOKUP(B3,[1]Elevage!A:A,[1]Elevage!B:B)</f>
        <v>46092</v>
      </c>
      <c r="G3" s="75" t="str">
        <f>G2</f>
        <v>Eco-antibio2</v>
      </c>
      <c r="H3" s="75">
        <f t="shared" ref="H3:H70" si="1">IF(AND(I3=0,K3=0),0,1)</f>
        <v>0</v>
      </c>
      <c r="I3" s="83">
        <v>0</v>
      </c>
      <c r="J3" s="85" t="s">
        <v>966</v>
      </c>
      <c r="K3" s="83">
        <v>0</v>
      </c>
      <c r="L3" s="83" t="s">
        <v>966</v>
      </c>
      <c r="M3" s="8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/>
      <c r="AJ3" s="75">
        <v>0</v>
      </c>
    </row>
    <row r="4" spans="1:38" s="73" customFormat="1" hidden="1" x14ac:dyDescent="0.2">
      <c r="A4" s="73" t="s">
        <v>942</v>
      </c>
      <c r="B4" s="73" t="str">
        <f>[1]Elevage!A4</f>
        <v>FK-003</v>
      </c>
      <c r="C4" s="73" t="s">
        <v>29</v>
      </c>
      <c r="D4" s="73" t="s">
        <v>30</v>
      </c>
      <c r="E4" s="74" t="str">
        <f t="shared" si="0"/>
        <v>FK-003Fp</v>
      </c>
      <c r="F4" s="74">
        <f>_xlfn.XLOOKUP(B4,[1]Elevage!A:A,[1]Elevage!B:B)</f>
        <v>46094</v>
      </c>
      <c r="G4" s="73" t="str">
        <f t="shared" ref="G4:G70" si="2">G3</f>
        <v>Eco-antibio2</v>
      </c>
      <c r="H4" s="73">
        <f>IF(AND(I4=0,K4=0),0,1)</f>
        <v>0</v>
      </c>
      <c r="I4" s="85">
        <v>0</v>
      </c>
      <c r="J4" s="85" t="s">
        <v>966</v>
      </c>
      <c r="K4" s="85">
        <v>0</v>
      </c>
      <c r="L4" s="85" t="s">
        <v>966</v>
      </c>
      <c r="M4" s="85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/>
      <c r="AJ4" s="73">
        <v>0</v>
      </c>
    </row>
    <row r="5" spans="1:38" hidden="1" x14ac:dyDescent="0.2">
      <c r="A5" t="s">
        <v>942</v>
      </c>
      <c r="B5" t="s">
        <v>26</v>
      </c>
      <c r="C5" t="s">
        <v>29</v>
      </c>
      <c r="D5" t="s">
        <v>30</v>
      </c>
      <c r="E5" s="2" t="str">
        <f t="shared" si="0"/>
        <v>FK-003Fp</v>
      </c>
      <c r="F5" s="2">
        <f>_xlfn.XLOOKUP(B5,[1]Elevage!A:A,[1]Elevage!B:B)</f>
        <v>46094</v>
      </c>
      <c r="G5" t="str">
        <f t="shared" si="2"/>
        <v>Eco-antibio2</v>
      </c>
      <c r="H5">
        <f t="shared" si="1"/>
        <v>0</v>
      </c>
      <c r="I5" s="84">
        <v>0</v>
      </c>
      <c r="J5" s="85" t="s">
        <v>966</v>
      </c>
      <c r="K5" s="84">
        <v>0</v>
      </c>
      <c r="L5" s="84" t="s">
        <v>966</v>
      </c>
      <c r="M5" s="84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  <c r="AA5" s="123"/>
      <c r="AB5" s="123"/>
      <c r="AC5" s="123"/>
      <c r="AJ5">
        <v>0</v>
      </c>
    </row>
    <row r="6" spans="1:38" s="73" customFormat="1" x14ac:dyDescent="0.2">
      <c r="A6" s="73" t="s">
        <v>942</v>
      </c>
      <c r="B6" s="73" t="s">
        <v>27</v>
      </c>
      <c r="C6" s="73" t="s">
        <v>29</v>
      </c>
      <c r="D6" s="73" t="s">
        <v>32</v>
      </c>
      <c r="E6" s="74" t="str">
        <f t="shared" si="0"/>
        <v>FK-004Mp</v>
      </c>
      <c r="F6" s="74">
        <f>_xlfn.XLOOKUP(B6,[1]Elevage!A:A,[1]Elevage!B:B)</f>
        <v>46099</v>
      </c>
      <c r="G6" s="73" t="str">
        <f t="shared" si="2"/>
        <v>Eco-antibio2</v>
      </c>
      <c r="H6" s="73">
        <f t="shared" si="1"/>
        <v>0</v>
      </c>
      <c r="I6" s="85">
        <v>0</v>
      </c>
      <c r="J6" s="85" t="s">
        <v>966</v>
      </c>
      <c r="K6" s="85">
        <v>0</v>
      </c>
      <c r="L6" s="85" t="s">
        <v>966</v>
      </c>
      <c r="M6" s="85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J6" s="73">
        <v>1</v>
      </c>
    </row>
    <row r="7" spans="1:38" x14ac:dyDescent="0.2">
      <c r="A7" s="106" t="s">
        <v>942</v>
      </c>
      <c r="B7" t="s">
        <v>27</v>
      </c>
      <c r="C7" t="s">
        <v>29</v>
      </c>
      <c r="D7" t="s">
        <v>30</v>
      </c>
      <c r="E7" s="2" t="str">
        <f t="shared" si="0"/>
        <v>FK-004Fp</v>
      </c>
      <c r="F7" s="2">
        <f>_xlfn.XLOOKUP(B7,[1]Elevage!A:A,[1]Elevage!B:B)</f>
        <v>46099</v>
      </c>
      <c r="G7" t="str">
        <f t="shared" si="2"/>
        <v>Eco-antibio2</v>
      </c>
      <c r="H7">
        <f>IF(AND(I7=0,K7=0),0,1)</f>
        <v>1</v>
      </c>
      <c r="I7" s="84">
        <v>1</v>
      </c>
      <c r="J7" s="84" t="s">
        <v>1203</v>
      </c>
      <c r="K7" s="84">
        <v>0</v>
      </c>
      <c r="L7" s="84" t="s">
        <v>966</v>
      </c>
      <c r="M7" s="84" t="s">
        <v>1244</v>
      </c>
      <c r="N7" s="87">
        <v>0</v>
      </c>
      <c r="O7" s="88">
        <v>20</v>
      </c>
      <c r="P7" s="87">
        <v>0</v>
      </c>
      <c r="Q7" s="89">
        <v>16</v>
      </c>
      <c r="R7" s="87">
        <v>0</v>
      </c>
      <c r="S7" s="88">
        <v>19</v>
      </c>
      <c r="T7" s="88">
        <v>26</v>
      </c>
      <c r="U7" s="88">
        <v>21</v>
      </c>
      <c r="V7" s="87">
        <v>0</v>
      </c>
      <c r="W7" s="89">
        <v>25</v>
      </c>
      <c r="X7" s="88">
        <v>34</v>
      </c>
      <c r="Y7" s="88">
        <v>31</v>
      </c>
      <c r="Z7" s="88">
        <v>28</v>
      </c>
      <c r="AA7" s="88">
        <v>31</v>
      </c>
      <c r="AB7" s="87">
        <v>0</v>
      </c>
      <c r="AC7" s="87">
        <v>0</v>
      </c>
      <c r="AD7" s="94" t="s">
        <v>1193</v>
      </c>
      <c r="AH7" s="132" t="s">
        <v>1200</v>
      </c>
      <c r="AI7">
        <v>40</v>
      </c>
      <c r="AJ7">
        <v>1</v>
      </c>
    </row>
    <row r="8" spans="1:38" s="73" customFormat="1" x14ac:dyDescent="0.2">
      <c r="A8" s="73" t="s">
        <v>942</v>
      </c>
      <c r="B8" s="73" t="str">
        <f t="shared" ref="B8:B15" si="3">"FK-"&amp;TEXT(5+INT((ROW()-8)/3),"000")</f>
        <v>FK-005</v>
      </c>
      <c r="C8" s="73" t="s">
        <v>29</v>
      </c>
      <c r="D8" s="73" t="s">
        <v>30</v>
      </c>
      <c r="E8" s="74" t="str">
        <f t="shared" si="0"/>
        <v>FK-005Fp</v>
      </c>
      <c r="F8" s="74">
        <f>_xlfn.XLOOKUP(B8,[1]Elevage!A:A,[1]Elevage!B:B)</f>
        <v>46106</v>
      </c>
      <c r="G8" s="73" t="str">
        <f t="shared" si="2"/>
        <v>Eco-antibio2</v>
      </c>
      <c r="H8" s="73">
        <f t="shared" si="1"/>
        <v>0</v>
      </c>
      <c r="I8" s="85">
        <v>0</v>
      </c>
      <c r="J8" s="85" t="s">
        <v>966</v>
      </c>
      <c r="K8" s="85">
        <v>0</v>
      </c>
      <c r="L8" s="85" t="s">
        <v>966</v>
      </c>
      <c r="M8" s="85"/>
      <c r="N8" s="125"/>
      <c r="O8" s="125"/>
      <c r="P8" s="125"/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J8" s="73">
        <v>0</v>
      </c>
    </row>
    <row r="9" spans="1:38" x14ac:dyDescent="0.2">
      <c r="A9" t="s">
        <v>942</v>
      </c>
      <c r="B9" t="str">
        <f t="shared" si="3"/>
        <v>FK-005</v>
      </c>
      <c r="C9" t="s">
        <v>29</v>
      </c>
      <c r="D9" t="s">
        <v>32</v>
      </c>
      <c r="E9" s="2" t="str">
        <f t="shared" si="0"/>
        <v>FK-005Mp</v>
      </c>
      <c r="F9" s="2">
        <f>_xlfn.XLOOKUP(B9,[1]Elevage!A:A,[1]Elevage!B:B)</f>
        <v>46106</v>
      </c>
      <c r="G9" t="str">
        <f t="shared" si="2"/>
        <v>Eco-antibio2</v>
      </c>
      <c r="H9">
        <f t="shared" si="1"/>
        <v>0</v>
      </c>
      <c r="I9" s="84">
        <v>0</v>
      </c>
      <c r="J9" s="84" t="s">
        <v>966</v>
      </c>
      <c r="K9" s="84">
        <v>0</v>
      </c>
      <c r="L9" s="84" t="s">
        <v>966</v>
      </c>
      <c r="M9" s="84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Z9" s="126"/>
      <c r="AA9" s="126"/>
      <c r="AB9" s="126"/>
      <c r="AC9" s="126"/>
      <c r="AJ9">
        <v>0</v>
      </c>
    </row>
    <row r="10" spans="1:38" x14ac:dyDescent="0.2">
      <c r="A10" t="s">
        <v>942</v>
      </c>
      <c r="B10" t="str">
        <f t="shared" si="3"/>
        <v>FK-005</v>
      </c>
      <c r="C10" t="s">
        <v>31</v>
      </c>
      <c r="D10" t="s">
        <v>30</v>
      </c>
      <c r="E10" s="2" t="str">
        <f t="shared" si="0"/>
        <v>FK-005Fe</v>
      </c>
      <c r="F10" s="2">
        <f>_xlfn.XLOOKUP(B10,[1]Elevage!A:A,[1]Elevage!B:B)</f>
        <v>46106</v>
      </c>
      <c r="G10" t="str">
        <f t="shared" si="2"/>
        <v>Eco-antibio2</v>
      </c>
      <c r="H10">
        <f t="shared" si="1"/>
        <v>0</v>
      </c>
      <c r="I10" s="84">
        <v>0</v>
      </c>
      <c r="J10" s="84" t="s">
        <v>966</v>
      </c>
      <c r="K10" s="84">
        <v>0</v>
      </c>
      <c r="L10" s="84" t="s">
        <v>966</v>
      </c>
      <c r="M10" s="84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Z10" s="126"/>
      <c r="AA10" s="126"/>
      <c r="AB10" s="126"/>
      <c r="AC10" s="126"/>
      <c r="AJ10">
        <v>0</v>
      </c>
    </row>
    <row r="11" spans="1:38" s="73" customFormat="1" x14ac:dyDescent="0.2">
      <c r="A11" s="117" t="s">
        <v>942</v>
      </c>
      <c r="B11" s="73" t="str">
        <f t="shared" si="3"/>
        <v>FK-006</v>
      </c>
      <c r="C11" s="73" t="s">
        <v>29</v>
      </c>
      <c r="D11" s="73" t="s">
        <v>30</v>
      </c>
      <c r="E11" s="74" t="str">
        <f t="shared" si="0"/>
        <v>FK-006Fp</v>
      </c>
      <c r="F11" s="74">
        <f>_xlfn.XLOOKUP(B11,[1]Elevage!A:A,[1]Elevage!B:B)</f>
        <v>46106</v>
      </c>
      <c r="G11" s="73" t="str">
        <f t="shared" si="2"/>
        <v>Eco-antibio2</v>
      </c>
      <c r="H11" s="73">
        <f t="shared" si="1"/>
        <v>1</v>
      </c>
      <c r="I11" s="85">
        <v>1</v>
      </c>
      <c r="J11" s="85" t="s">
        <v>1204</v>
      </c>
      <c r="K11" s="85">
        <v>0</v>
      </c>
      <c r="L11" s="85" t="s">
        <v>966</v>
      </c>
      <c r="M11" t="s">
        <v>1255</v>
      </c>
      <c r="N11" s="110">
        <v>0</v>
      </c>
      <c r="O11" s="111">
        <v>24</v>
      </c>
      <c r="P11" s="110">
        <v>0</v>
      </c>
      <c r="Q11" s="112">
        <v>16</v>
      </c>
      <c r="R11" s="110">
        <v>0</v>
      </c>
      <c r="S11" s="111">
        <v>21</v>
      </c>
      <c r="T11" s="110">
        <v>16</v>
      </c>
      <c r="U11" s="111">
        <v>21</v>
      </c>
      <c r="V11" s="110">
        <v>0</v>
      </c>
      <c r="W11" s="110">
        <v>19</v>
      </c>
      <c r="X11" s="111">
        <v>33</v>
      </c>
      <c r="Y11" s="111">
        <v>32</v>
      </c>
      <c r="Z11" s="110">
        <v>20</v>
      </c>
      <c r="AA11" s="112">
        <v>24</v>
      </c>
      <c r="AB11" s="111">
        <v>34</v>
      </c>
      <c r="AC11" s="111">
        <v>26</v>
      </c>
      <c r="AD11" s="95" t="s">
        <v>1193</v>
      </c>
      <c r="AH11" s="73" t="s">
        <v>1196</v>
      </c>
      <c r="AI11" s="73" t="s">
        <v>1197</v>
      </c>
      <c r="AJ11" s="73">
        <v>1</v>
      </c>
    </row>
    <row r="12" spans="1:38" x14ac:dyDescent="0.2">
      <c r="A12" t="s">
        <v>942</v>
      </c>
      <c r="B12" t="str">
        <f t="shared" si="3"/>
        <v>FK-006</v>
      </c>
      <c r="C12" t="s">
        <v>29</v>
      </c>
      <c r="D12" t="s">
        <v>32</v>
      </c>
      <c r="E12" s="2" t="str">
        <f t="shared" si="0"/>
        <v>FK-006Mp</v>
      </c>
      <c r="F12" s="2">
        <f>_xlfn.XLOOKUP(B12,[1]Elevage!A:A,[1]Elevage!B:B)</f>
        <v>46106</v>
      </c>
      <c r="G12" t="str">
        <f t="shared" si="2"/>
        <v>Eco-antibio2</v>
      </c>
      <c r="H12">
        <f t="shared" si="1"/>
        <v>0</v>
      </c>
      <c r="I12" s="84">
        <v>0</v>
      </c>
      <c r="J12" s="84" t="s">
        <v>966</v>
      </c>
      <c r="K12" s="84">
        <v>0</v>
      </c>
      <c r="L12" s="84" t="s">
        <v>966</v>
      </c>
      <c r="M12" s="84"/>
      <c r="N12" s="126"/>
      <c r="O12" s="126"/>
      <c r="P12" s="126"/>
      <c r="Q12" s="126"/>
      <c r="R12" s="126"/>
      <c r="S12" s="126"/>
      <c r="T12" s="126"/>
      <c r="U12" s="126"/>
      <c r="V12" s="126"/>
      <c r="W12" s="126"/>
      <c r="X12" s="126"/>
      <c r="Y12" s="126"/>
      <c r="Z12" s="126"/>
      <c r="AA12" s="126"/>
      <c r="AB12" s="126"/>
      <c r="AC12" s="126"/>
      <c r="AJ12">
        <v>1</v>
      </c>
    </row>
    <row r="13" spans="1:38" x14ac:dyDescent="0.2">
      <c r="A13" t="s">
        <v>942</v>
      </c>
      <c r="B13" t="str">
        <f t="shared" si="3"/>
        <v>FK-006</v>
      </c>
      <c r="C13" t="s">
        <v>31</v>
      </c>
      <c r="D13" t="s">
        <v>30</v>
      </c>
      <c r="E13" s="2" t="str">
        <f t="shared" si="0"/>
        <v>FK-006Fe</v>
      </c>
      <c r="F13" s="2">
        <f>_xlfn.XLOOKUP(B13,[1]Elevage!A:A,[1]Elevage!B:B)</f>
        <v>46106</v>
      </c>
      <c r="G13" t="str">
        <f t="shared" si="2"/>
        <v>Eco-antibio2</v>
      </c>
      <c r="H13">
        <f t="shared" si="1"/>
        <v>0</v>
      </c>
      <c r="I13" s="84">
        <v>0</v>
      </c>
      <c r="J13" s="84" t="s">
        <v>966</v>
      </c>
      <c r="K13" s="84">
        <v>0</v>
      </c>
      <c r="L13" s="84" t="s">
        <v>966</v>
      </c>
      <c r="M13" s="84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J13">
        <v>1</v>
      </c>
    </row>
    <row r="14" spans="1:38" s="73" customFormat="1" hidden="1" x14ac:dyDescent="0.2">
      <c r="A14" s="73" t="s">
        <v>942</v>
      </c>
      <c r="B14" s="73" t="str">
        <f t="shared" si="3"/>
        <v>FK-007</v>
      </c>
      <c r="C14" s="73" t="s">
        <v>29</v>
      </c>
      <c r="D14" s="73" t="s">
        <v>30</v>
      </c>
      <c r="E14" s="74" t="str">
        <f t="shared" si="0"/>
        <v>FK-007Fp</v>
      </c>
      <c r="F14" s="74">
        <f>_xlfn.XLOOKUP(B14,[1]Elevage!A:A,[1]Elevage!B:B)</f>
        <v>46111</v>
      </c>
      <c r="G14" s="73" t="str">
        <f t="shared" si="2"/>
        <v>Eco-antibio2</v>
      </c>
      <c r="H14" s="73">
        <f t="shared" si="1"/>
        <v>0</v>
      </c>
      <c r="I14" s="85">
        <v>0</v>
      </c>
      <c r="J14" s="85" t="s">
        <v>966</v>
      </c>
      <c r="K14" s="85">
        <v>0</v>
      </c>
      <c r="L14" s="85" t="s">
        <v>966</v>
      </c>
      <c r="M14" s="85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J14" s="73">
        <v>0</v>
      </c>
    </row>
    <row r="15" spans="1:38" hidden="1" x14ac:dyDescent="0.2">
      <c r="A15" t="s">
        <v>942</v>
      </c>
      <c r="B15" t="str">
        <f t="shared" si="3"/>
        <v>FK-007</v>
      </c>
      <c r="C15" t="s">
        <v>29</v>
      </c>
      <c r="D15" t="s">
        <v>32</v>
      </c>
      <c r="E15" s="2" t="str">
        <f t="shared" si="0"/>
        <v>FK-007Mp</v>
      </c>
      <c r="F15" s="2">
        <f>_xlfn.XLOOKUP(B15,[1]Elevage!A:A,[1]Elevage!B:B)</f>
        <v>46111</v>
      </c>
      <c r="G15" t="str">
        <f t="shared" si="2"/>
        <v>Eco-antibio2</v>
      </c>
      <c r="H15">
        <f t="shared" si="1"/>
        <v>0</v>
      </c>
      <c r="I15" s="84">
        <v>0</v>
      </c>
      <c r="J15" s="84" t="s">
        <v>966</v>
      </c>
      <c r="K15" s="84">
        <v>0</v>
      </c>
      <c r="L15" s="84" t="s">
        <v>966</v>
      </c>
      <c r="M15" s="84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J15">
        <v>0</v>
      </c>
    </row>
    <row r="16" spans="1:38" hidden="1" x14ac:dyDescent="0.2">
      <c r="A16" t="s">
        <v>942</v>
      </c>
      <c r="B16" t="str">
        <f>"FK-"&amp;TEXT(5+INT((ROW()-8)/3),"000")</f>
        <v>FK-007</v>
      </c>
      <c r="C16" t="s">
        <v>31</v>
      </c>
      <c r="D16" t="s">
        <v>30</v>
      </c>
      <c r="E16" s="2" t="str">
        <f t="shared" si="0"/>
        <v>FK-007Fe</v>
      </c>
      <c r="F16" s="2">
        <f>_xlfn.XLOOKUP(B16,[1]Elevage!A:A,[1]Elevage!B:B)</f>
        <v>46111</v>
      </c>
      <c r="G16" t="str">
        <f t="shared" si="2"/>
        <v>Eco-antibio2</v>
      </c>
      <c r="H16">
        <f t="shared" si="1"/>
        <v>0</v>
      </c>
      <c r="I16" s="84">
        <v>0</v>
      </c>
      <c r="J16" s="84" t="s">
        <v>966</v>
      </c>
      <c r="K16" s="84">
        <v>0</v>
      </c>
      <c r="L16" s="84" t="s">
        <v>966</v>
      </c>
      <c r="M16" s="84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J16">
        <v>0</v>
      </c>
    </row>
    <row r="17" spans="1:36" s="73" customFormat="1" hidden="1" x14ac:dyDescent="0.2">
      <c r="A17" s="73" t="s">
        <v>942</v>
      </c>
      <c r="B17" s="73" t="str">
        <f t="shared" ref="B17:B82" si="4">"FK-"&amp;TEXT(5+INT((ROW()-8)/3),"000")</f>
        <v>FK-008</v>
      </c>
      <c r="C17" s="73" t="s">
        <v>29</v>
      </c>
      <c r="D17" s="73" t="s">
        <v>30</v>
      </c>
      <c r="E17" s="74" t="str">
        <f t="shared" si="0"/>
        <v>FK-008Fp</v>
      </c>
      <c r="F17" s="74">
        <f>_xlfn.XLOOKUP(B17,[1]Elevage!A:A,[1]Elevage!B:B)</f>
        <v>46111</v>
      </c>
      <c r="G17" s="73" t="str">
        <f t="shared" si="2"/>
        <v>Eco-antibio2</v>
      </c>
      <c r="H17" s="73">
        <f t="shared" si="1"/>
        <v>0</v>
      </c>
      <c r="I17" s="85">
        <v>0</v>
      </c>
      <c r="J17" s="85" t="s">
        <v>966</v>
      </c>
      <c r="K17" s="85">
        <v>0</v>
      </c>
      <c r="L17" s="85" t="s">
        <v>966</v>
      </c>
      <c r="M17" s="8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J17" s="73">
        <v>0</v>
      </c>
    </row>
    <row r="18" spans="1:36" hidden="1" x14ac:dyDescent="0.2">
      <c r="A18" t="s">
        <v>942</v>
      </c>
      <c r="B18" t="str">
        <f t="shared" si="4"/>
        <v>FK-008</v>
      </c>
      <c r="C18" t="s">
        <v>29</v>
      </c>
      <c r="D18" t="s">
        <v>32</v>
      </c>
      <c r="E18" s="2" t="str">
        <f t="shared" si="0"/>
        <v>FK-008Mp</v>
      </c>
      <c r="F18" s="2">
        <f>_xlfn.XLOOKUP(B18,[1]Elevage!A:A,[1]Elevage!B:B)</f>
        <v>46111</v>
      </c>
      <c r="G18" t="str">
        <f t="shared" si="2"/>
        <v>Eco-antibio2</v>
      </c>
      <c r="H18">
        <f t="shared" si="1"/>
        <v>0</v>
      </c>
      <c r="I18" s="84">
        <v>0</v>
      </c>
      <c r="J18" s="84" t="s">
        <v>966</v>
      </c>
      <c r="K18" s="84">
        <v>0</v>
      </c>
      <c r="L18" s="84" t="s">
        <v>966</v>
      </c>
      <c r="M18" s="84"/>
      <c r="N18" s="126"/>
      <c r="O18" s="126"/>
      <c r="P18" s="126"/>
      <c r="Q18" s="126"/>
      <c r="R18" s="126"/>
      <c r="S18" s="126"/>
      <c r="T18" s="126"/>
      <c r="U18" s="126"/>
      <c r="V18" s="126"/>
      <c r="W18" s="126"/>
      <c r="X18" s="126"/>
      <c r="Y18" s="126"/>
      <c r="Z18" s="126"/>
      <c r="AA18" s="126"/>
      <c r="AB18" s="126"/>
      <c r="AC18" s="126"/>
      <c r="AJ18">
        <v>0</v>
      </c>
    </row>
    <row r="19" spans="1:36" hidden="1" x14ac:dyDescent="0.2">
      <c r="A19" t="s">
        <v>942</v>
      </c>
      <c r="B19" t="str">
        <f t="shared" si="4"/>
        <v>FK-008</v>
      </c>
      <c r="C19" t="s">
        <v>31</v>
      </c>
      <c r="D19" t="s">
        <v>30</v>
      </c>
      <c r="E19" s="2" t="str">
        <f t="shared" si="0"/>
        <v>FK-008Fe</v>
      </c>
      <c r="F19" s="2">
        <f>_xlfn.XLOOKUP(B19,[1]Elevage!A:A,[1]Elevage!B:B)</f>
        <v>46111</v>
      </c>
      <c r="G19" t="str">
        <f t="shared" si="2"/>
        <v>Eco-antibio2</v>
      </c>
      <c r="H19">
        <f t="shared" si="1"/>
        <v>0</v>
      </c>
      <c r="I19" s="84">
        <v>0</v>
      </c>
      <c r="J19" s="84" t="s">
        <v>966</v>
      </c>
      <c r="K19" s="84">
        <v>0</v>
      </c>
      <c r="L19" s="84" t="s">
        <v>966</v>
      </c>
      <c r="M19" s="84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Z19" s="126"/>
      <c r="AA19" s="126"/>
      <c r="AB19" s="126"/>
      <c r="AC19" s="126"/>
      <c r="AJ19">
        <v>0</v>
      </c>
    </row>
    <row r="20" spans="1:36" s="73" customFormat="1" hidden="1" x14ac:dyDescent="0.2">
      <c r="A20" s="73" t="s">
        <v>942</v>
      </c>
      <c r="B20" s="73" t="str">
        <f t="shared" si="4"/>
        <v>FK-009</v>
      </c>
      <c r="C20" s="73" t="s">
        <v>29</v>
      </c>
      <c r="D20" s="73" t="s">
        <v>30</v>
      </c>
      <c r="E20" s="74" t="str">
        <f t="shared" si="0"/>
        <v>FK-009Fp</v>
      </c>
      <c r="F20" s="74">
        <f>_xlfn.XLOOKUP(B20,[1]Elevage!A:A,[1]Elevage!B:B)</f>
        <v>46111</v>
      </c>
      <c r="G20" s="73" t="str">
        <f t="shared" si="2"/>
        <v>Eco-antibio2</v>
      </c>
      <c r="H20" s="73">
        <f t="shared" si="1"/>
        <v>0</v>
      </c>
      <c r="I20" s="85">
        <v>0</v>
      </c>
      <c r="J20" s="85" t="s">
        <v>966</v>
      </c>
      <c r="K20" s="85">
        <v>0</v>
      </c>
      <c r="L20" s="85" t="s">
        <v>966</v>
      </c>
      <c r="M20" s="8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H20" s="73" t="s">
        <v>1331</v>
      </c>
      <c r="AJ20" s="73">
        <v>0</v>
      </c>
    </row>
    <row r="21" spans="1:36" hidden="1" x14ac:dyDescent="0.2">
      <c r="A21" t="s">
        <v>942</v>
      </c>
      <c r="B21" t="str">
        <f t="shared" si="4"/>
        <v>FK-009</v>
      </c>
      <c r="C21" t="s">
        <v>29</v>
      </c>
      <c r="D21" t="s">
        <v>32</v>
      </c>
      <c r="E21" s="2" t="str">
        <f t="shared" si="0"/>
        <v>FK-009Mp</v>
      </c>
      <c r="F21" s="2">
        <f>_xlfn.XLOOKUP(B21,[1]Elevage!A:A,[1]Elevage!B:B)</f>
        <v>46111</v>
      </c>
      <c r="G21" t="str">
        <f t="shared" si="2"/>
        <v>Eco-antibio2</v>
      </c>
      <c r="H21">
        <f t="shared" si="1"/>
        <v>0</v>
      </c>
      <c r="I21" s="84">
        <v>0</v>
      </c>
      <c r="J21" s="84" t="s">
        <v>966</v>
      </c>
      <c r="K21" s="84">
        <v>0</v>
      </c>
      <c r="L21" s="84" t="s">
        <v>966</v>
      </c>
      <c r="M21" s="84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J21">
        <v>0</v>
      </c>
    </row>
    <row r="22" spans="1:36" hidden="1" x14ac:dyDescent="0.2">
      <c r="A22" t="s">
        <v>942</v>
      </c>
      <c r="B22" t="str">
        <f t="shared" si="4"/>
        <v>FK-009</v>
      </c>
      <c r="C22" t="s">
        <v>31</v>
      </c>
      <c r="D22" t="s">
        <v>30</v>
      </c>
      <c r="E22" s="2" t="str">
        <f t="shared" si="0"/>
        <v>FK-009Fe</v>
      </c>
      <c r="F22" s="2">
        <f>_xlfn.XLOOKUP(B22,[1]Elevage!A:A,[1]Elevage!B:B)</f>
        <v>46111</v>
      </c>
      <c r="G22" t="str">
        <f t="shared" si="2"/>
        <v>Eco-antibio2</v>
      </c>
      <c r="H22">
        <f t="shared" si="1"/>
        <v>0</v>
      </c>
      <c r="I22" s="84">
        <v>0</v>
      </c>
      <c r="J22" s="84" t="s">
        <v>966</v>
      </c>
      <c r="K22" s="84">
        <v>0</v>
      </c>
      <c r="L22" s="84" t="s">
        <v>966</v>
      </c>
      <c r="M22" s="84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Z22" s="126"/>
      <c r="AA22" s="126"/>
      <c r="AB22" s="126"/>
      <c r="AC22" s="126"/>
      <c r="AJ22">
        <v>0</v>
      </c>
    </row>
    <row r="23" spans="1:36" s="73" customFormat="1" hidden="1" x14ac:dyDescent="0.2">
      <c r="A23" s="73" t="s">
        <v>942</v>
      </c>
      <c r="B23" s="73" t="str">
        <f t="shared" si="4"/>
        <v>FK-010</v>
      </c>
      <c r="C23" s="73" t="s">
        <v>29</v>
      </c>
      <c r="D23" s="73" t="s">
        <v>30</v>
      </c>
      <c r="E23" s="74" t="str">
        <f t="shared" si="0"/>
        <v>FK-010Fp</v>
      </c>
      <c r="F23" s="74">
        <f>_xlfn.XLOOKUP(B23,[1]Elevage!A:A,[1]Elevage!B:B)</f>
        <v>46111</v>
      </c>
      <c r="G23" s="73" t="str">
        <f>G22</f>
        <v>Eco-antibio2</v>
      </c>
      <c r="H23" s="73">
        <f t="shared" si="1"/>
        <v>0</v>
      </c>
      <c r="I23" s="85">
        <v>0</v>
      </c>
      <c r="J23" s="85" t="s">
        <v>966</v>
      </c>
      <c r="K23" s="85">
        <v>0</v>
      </c>
      <c r="L23" s="85" t="s">
        <v>966</v>
      </c>
      <c r="M23" s="85"/>
      <c r="N23" s="124"/>
      <c r="O23" s="124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J23" s="73">
        <v>0</v>
      </c>
    </row>
    <row r="24" spans="1:36" hidden="1" x14ac:dyDescent="0.2">
      <c r="A24" t="s">
        <v>942</v>
      </c>
      <c r="B24" t="str">
        <f t="shared" si="4"/>
        <v>FK-010</v>
      </c>
      <c r="C24" t="s">
        <v>29</v>
      </c>
      <c r="D24" t="s">
        <v>32</v>
      </c>
      <c r="E24" s="2" t="str">
        <f t="shared" si="0"/>
        <v>FK-010Mp</v>
      </c>
      <c r="F24" s="2">
        <f>_xlfn.XLOOKUP(B24,[1]Elevage!A:A,[1]Elevage!B:B)</f>
        <v>46111</v>
      </c>
      <c r="G24" t="str">
        <f>G23</f>
        <v>Eco-antibio2</v>
      </c>
      <c r="H24">
        <f t="shared" si="1"/>
        <v>0</v>
      </c>
      <c r="I24" s="84">
        <v>0</v>
      </c>
      <c r="J24" s="84" t="s">
        <v>966</v>
      </c>
      <c r="K24" s="84">
        <v>0</v>
      </c>
      <c r="L24" s="84" t="s">
        <v>966</v>
      </c>
      <c r="M24" s="84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J24">
        <v>0</v>
      </c>
    </row>
    <row r="25" spans="1:36" hidden="1" x14ac:dyDescent="0.2">
      <c r="A25" t="s">
        <v>942</v>
      </c>
      <c r="B25" t="str">
        <f t="shared" si="4"/>
        <v>FK-010</v>
      </c>
      <c r="C25" t="s">
        <v>31</v>
      </c>
      <c r="D25" t="s">
        <v>30</v>
      </c>
      <c r="E25" s="2" t="str">
        <f t="shared" si="0"/>
        <v>FK-010Fe</v>
      </c>
      <c r="F25" s="2">
        <f>_xlfn.XLOOKUP(B25,[1]Elevage!A:A,[1]Elevage!B:B)</f>
        <v>46111</v>
      </c>
      <c r="G25" t="str">
        <f t="shared" si="2"/>
        <v>Eco-antibio2</v>
      </c>
      <c r="H25">
        <f t="shared" si="1"/>
        <v>0</v>
      </c>
      <c r="I25" s="84">
        <v>0</v>
      </c>
      <c r="J25" s="84" t="s">
        <v>966</v>
      </c>
      <c r="K25" s="84">
        <v>0</v>
      </c>
      <c r="L25" s="84" t="s">
        <v>966</v>
      </c>
      <c r="M25" s="84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J25">
        <v>0</v>
      </c>
    </row>
    <row r="26" spans="1:36" s="73" customFormat="1" hidden="1" x14ac:dyDescent="0.2">
      <c r="A26" s="73" t="s">
        <v>942</v>
      </c>
      <c r="B26" s="73" t="str">
        <f t="shared" si="4"/>
        <v>FK-011</v>
      </c>
      <c r="C26" s="73" t="s">
        <v>29</v>
      </c>
      <c r="D26" s="73" t="s">
        <v>30</v>
      </c>
      <c r="E26" s="74" t="str">
        <f t="shared" si="0"/>
        <v>FK-011Fp</v>
      </c>
      <c r="F26" s="74">
        <f>_xlfn.XLOOKUP(B26,[1]Elevage!A:A,[1]Elevage!B:B)</f>
        <v>46112</v>
      </c>
      <c r="G26" s="73" t="str">
        <f t="shared" si="2"/>
        <v>Eco-antibio2</v>
      </c>
      <c r="H26" s="73">
        <f t="shared" si="1"/>
        <v>0</v>
      </c>
      <c r="I26" s="85">
        <v>0</v>
      </c>
      <c r="J26" s="85" t="s">
        <v>966</v>
      </c>
      <c r="K26" s="85">
        <v>0</v>
      </c>
      <c r="L26" s="85" t="s">
        <v>966</v>
      </c>
      <c r="M26" s="85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J26" s="73">
        <v>0</v>
      </c>
    </row>
    <row r="27" spans="1:36" hidden="1" x14ac:dyDescent="0.2">
      <c r="A27" t="s">
        <v>942</v>
      </c>
      <c r="B27" t="str">
        <f t="shared" si="4"/>
        <v>FK-011</v>
      </c>
      <c r="C27" t="s">
        <v>29</v>
      </c>
      <c r="D27" t="s">
        <v>32</v>
      </c>
      <c r="E27" s="2" t="str">
        <f t="shared" si="0"/>
        <v>FK-011Mp</v>
      </c>
      <c r="F27" s="2">
        <f>_xlfn.XLOOKUP(B27,[1]Elevage!A:A,[1]Elevage!B:B)</f>
        <v>46112</v>
      </c>
      <c r="G27" t="str">
        <f t="shared" si="2"/>
        <v>Eco-antibio2</v>
      </c>
      <c r="H27">
        <f t="shared" si="1"/>
        <v>0</v>
      </c>
      <c r="I27" s="84">
        <v>0</v>
      </c>
      <c r="J27" s="84" t="s">
        <v>966</v>
      </c>
      <c r="K27" s="84">
        <v>0</v>
      </c>
      <c r="L27" s="84" t="s">
        <v>966</v>
      </c>
      <c r="M27" s="84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Z27" s="126"/>
      <c r="AA27" s="126"/>
      <c r="AB27" s="126"/>
      <c r="AC27" s="126"/>
      <c r="AJ27">
        <v>0</v>
      </c>
    </row>
    <row r="28" spans="1:36" hidden="1" x14ac:dyDescent="0.2">
      <c r="A28" t="s">
        <v>942</v>
      </c>
      <c r="B28" t="str">
        <f t="shared" si="4"/>
        <v>FK-011</v>
      </c>
      <c r="C28" t="s">
        <v>31</v>
      </c>
      <c r="D28" t="s">
        <v>30</v>
      </c>
      <c r="E28" s="2" t="str">
        <f t="shared" si="0"/>
        <v>FK-011Fe</v>
      </c>
      <c r="F28" s="2">
        <f>_xlfn.XLOOKUP(B28,[1]Elevage!A:A,[1]Elevage!B:B)</f>
        <v>46112</v>
      </c>
      <c r="G28" t="str">
        <f t="shared" si="2"/>
        <v>Eco-antibio2</v>
      </c>
      <c r="H28">
        <f t="shared" si="1"/>
        <v>0</v>
      </c>
      <c r="I28" s="84">
        <v>0</v>
      </c>
      <c r="J28" s="84" t="s">
        <v>966</v>
      </c>
      <c r="K28" s="84">
        <v>0</v>
      </c>
      <c r="L28" s="84" t="s">
        <v>966</v>
      </c>
      <c r="M28" s="84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J28">
        <v>0</v>
      </c>
    </row>
    <row r="29" spans="1:36" s="73" customFormat="1" hidden="1" x14ac:dyDescent="0.2">
      <c r="A29" s="73" t="s">
        <v>942</v>
      </c>
      <c r="B29" s="73" t="str">
        <f t="shared" si="4"/>
        <v>FK-012</v>
      </c>
      <c r="C29" s="73" t="s">
        <v>29</v>
      </c>
      <c r="D29" s="73" t="s">
        <v>30</v>
      </c>
      <c r="E29" s="74" t="str">
        <f t="shared" si="0"/>
        <v>FK-012Fp</v>
      </c>
      <c r="F29" s="74">
        <f>_xlfn.XLOOKUP(B29,[1]Elevage!A:A,[1]Elevage!B:B)</f>
        <v>46112</v>
      </c>
      <c r="G29" s="73" t="str">
        <f t="shared" si="2"/>
        <v>Eco-antibio2</v>
      </c>
      <c r="H29" s="73">
        <f t="shared" si="1"/>
        <v>0</v>
      </c>
      <c r="I29" s="85">
        <v>0</v>
      </c>
      <c r="J29" s="85" t="s">
        <v>966</v>
      </c>
      <c r="K29" s="85">
        <v>0</v>
      </c>
      <c r="L29" s="85" t="s">
        <v>966</v>
      </c>
      <c r="M29" s="8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J29" s="73">
        <v>0</v>
      </c>
    </row>
    <row r="30" spans="1:36" hidden="1" x14ac:dyDescent="0.2">
      <c r="A30" t="s">
        <v>942</v>
      </c>
      <c r="B30" t="str">
        <f t="shared" si="4"/>
        <v>FK-012</v>
      </c>
      <c r="C30" t="s">
        <v>29</v>
      </c>
      <c r="D30" t="s">
        <v>32</v>
      </c>
      <c r="E30" s="2" t="str">
        <f t="shared" si="0"/>
        <v>FK-012Mp</v>
      </c>
      <c r="F30" s="2">
        <f>_xlfn.XLOOKUP(B30,[1]Elevage!A:A,[1]Elevage!B:B)</f>
        <v>46112</v>
      </c>
      <c r="G30" t="str">
        <f t="shared" si="2"/>
        <v>Eco-antibio2</v>
      </c>
      <c r="H30">
        <f t="shared" si="1"/>
        <v>0</v>
      </c>
      <c r="I30" s="84">
        <v>0</v>
      </c>
      <c r="J30" s="84" t="s">
        <v>966</v>
      </c>
      <c r="K30" s="84">
        <v>0</v>
      </c>
      <c r="L30" s="84" t="s">
        <v>966</v>
      </c>
      <c r="M30" s="84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Z30" s="126"/>
      <c r="AA30" s="126"/>
      <c r="AB30" s="126"/>
      <c r="AC30" s="126"/>
      <c r="AJ30">
        <v>0</v>
      </c>
    </row>
    <row r="31" spans="1:36" hidden="1" x14ac:dyDescent="0.2">
      <c r="A31" t="s">
        <v>942</v>
      </c>
      <c r="B31" t="str">
        <f t="shared" si="4"/>
        <v>FK-012</v>
      </c>
      <c r="C31" t="s">
        <v>31</v>
      </c>
      <c r="D31" t="s">
        <v>30</v>
      </c>
      <c r="E31" s="2" t="str">
        <f t="shared" si="0"/>
        <v>FK-012Fe</v>
      </c>
      <c r="F31" s="2">
        <f>_xlfn.XLOOKUP(B31,[1]Elevage!A:A,[1]Elevage!B:B)</f>
        <v>46112</v>
      </c>
      <c r="G31" t="str">
        <f t="shared" si="2"/>
        <v>Eco-antibio2</v>
      </c>
      <c r="H31">
        <f t="shared" si="1"/>
        <v>0</v>
      </c>
      <c r="I31" s="84">
        <v>0</v>
      </c>
      <c r="J31" s="84" t="s">
        <v>966</v>
      </c>
      <c r="K31" s="84">
        <v>0</v>
      </c>
      <c r="L31" s="84" t="s">
        <v>966</v>
      </c>
      <c r="M31" s="84"/>
      <c r="N31" s="126"/>
      <c r="O31" s="126"/>
      <c r="P31" s="126"/>
      <c r="Q31" s="126"/>
      <c r="R31" s="126"/>
      <c r="S31" s="126"/>
      <c r="T31" s="126"/>
      <c r="U31" s="126"/>
      <c r="V31" s="126"/>
      <c r="W31" s="126"/>
      <c r="X31" s="126"/>
      <c r="Y31" s="126"/>
      <c r="Z31" s="126"/>
      <c r="AA31" s="126"/>
      <c r="AB31" s="126"/>
      <c r="AC31" s="126"/>
      <c r="AJ31">
        <v>0</v>
      </c>
    </row>
    <row r="32" spans="1:36" s="73" customFormat="1" x14ac:dyDescent="0.2">
      <c r="A32" s="117" t="s">
        <v>942</v>
      </c>
      <c r="B32" s="73" t="str">
        <f t="shared" si="4"/>
        <v>FK-013</v>
      </c>
      <c r="C32" s="73" t="s">
        <v>29</v>
      </c>
      <c r="D32" s="73" t="s">
        <v>30</v>
      </c>
      <c r="E32" s="74" t="str">
        <f t="shared" si="0"/>
        <v>FK-013Fp</v>
      </c>
      <c r="F32" s="74">
        <f>_xlfn.XLOOKUP(B32,[1]Elevage!A:A,[1]Elevage!B:B)</f>
        <v>46112</v>
      </c>
      <c r="G32" s="73" t="str">
        <f t="shared" si="2"/>
        <v>Eco-antibio2</v>
      </c>
      <c r="H32" s="73">
        <f t="shared" si="1"/>
        <v>1</v>
      </c>
      <c r="I32" s="85">
        <v>1</v>
      </c>
      <c r="J32" s="85" t="s">
        <v>1204</v>
      </c>
      <c r="K32" s="85">
        <v>0</v>
      </c>
      <c r="L32" s="85" t="s">
        <v>966</v>
      </c>
      <c r="M32" t="s">
        <v>1264</v>
      </c>
      <c r="N32" s="107">
        <v>0</v>
      </c>
      <c r="O32" s="108">
        <v>25</v>
      </c>
      <c r="P32" s="107">
        <v>16</v>
      </c>
      <c r="Q32" s="109">
        <v>18</v>
      </c>
      <c r="R32" s="107">
        <v>0</v>
      </c>
      <c r="S32" s="107">
        <v>0</v>
      </c>
      <c r="T32" s="107">
        <v>0</v>
      </c>
      <c r="U32" s="108">
        <v>28</v>
      </c>
      <c r="V32" s="107">
        <v>0</v>
      </c>
      <c r="W32" s="108">
        <v>37</v>
      </c>
      <c r="X32" s="108">
        <v>28</v>
      </c>
      <c r="Y32" s="108">
        <v>30</v>
      </c>
      <c r="Z32" s="108">
        <v>34</v>
      </c>
      <c r="AA32" s="108">
        <v>40</v>
      </c>
      <c r="AB32" s="108">
        <v>38</v>
      </c>
      <c r="AC32" s="108">
        <v>26</v>
      </c>
      <c r="AD32" s="95" t="s">
        <v>1195</v>
      </c>
      <c r="AH32" s="73" t="s">
        <v>1331</v>
      </c>
      <c r="AI32">
        <v>14</v>
      </c>
      <c r="AJ32" s="73">
        <v>1</v>
      </c>
    </row>
    <row r="33" spans="1:36" x14ac:dyDescent="0.2">
      <c r="A33" t="s">
        <v>942</v>
      </c>
      <c r="B33" t="str">
        <f t="shared" si="4"/>
        <v>FK-013</v>
      </c>
      <c r="C33" t="s">
        <v>29</v>
      </c>
      <c r="D33" t="s">
        <v>32</v>
      </c>
      <c r="E33" s="2" t="str">
        <f t="shared" si="0"/>
        <v>FK-013Mp</v>
      </c>
      <c r="F33" s="2">
        <f>_xlfn.XLOOKUP(B33,[1]Elevage!A:A,[1]Elevage!B:B)</f>
        <v>46112</v>
      </c>
      <c r="G33" t="str">
        <f t="shared" si="2"/>
        <v>Eco-antibio2</v>
      </c>
      <c r="H33">
        <f t="shared" si="1"/>
        <v>0</v>
      </c>
      <c r="I33" s="84">
        <v>0</v>
      </c>
      <c r="J33" s="84" t="s">
        <v>966</v>
      </c>
      <c r="K33" s="84">
        <v>0</v>
      </c>
      <c r="L33" s="84" t="s">
        <v>966</v>
      </c>
      <c r="M33" s="84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J33">
        <v>1</v>
      </c>
    </row>
    <row r="34" spans="1:36" x14ac:dyDescent="0.2">
      <c r="A34" t="s">
        <v>942</v>
      </c>
      <c r="B34" t="str">
        <f t="shared" si="4"/>
        <v>FK-013</v>
      </c>
      <c r="C34" t="s">
        <v>31</v>
      </c>
      <c r="D34" t="s">
        <v>30</v>
      </c>
      <c r="E34" s="2" t="str">
        <f t="shared" si="0"/>
        <v>FK-013Fe</v>
      </c>
      <c r="F34" s="2">
        <f>_xlfn.XLOOKUP(B34,[1]Elevage!A:A,[1]Elevage!B:B)</f>
        <v>46112</v>
      </c>
      <c r="G34" t="str">
        <f t="shared" si="2"/>
        <v>Eco-antibio2</v>
      </c>
      <c r="H34">
        <f t="shared" si="1"/>
        <v>0</v>
      </c>
      <c r="I34" s="84">
        <v>0</v>
      </c>
      <c r="J34" s="84" t="s">
        <v>966</v>
      </c>
      <c r="K34" s="84">
        <v>0</v>
      </c>
      <c r="L34" s="84" t="s">
        <v>966</v>
      </c>
      <c r="M34" s="84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J34">
        <v>1</v>
      </c>
    </row>
    <row r="35" spans="1:36" s="73" customFormat="1" hidden="1" x14ac:dyDescent="0.2">
      <c r="A35" s="73" t="s">
        <v>942</v>
      </c>
      <c r="B35" s="73" t="str">
        <f t="shared" si="4"/>
        <v>FK-014</v>
      </c>
      <c r="C35" s="73" t="s">
        <v>29</v>
      </c>
      <c r="D35" s="73" t="s">
        <v>30</v>
      </c>
      <c r="E35" s="74" t="str">
        <f t="shared" si="0"/>
        <v>FK-014Fp</v>
      </c>
      <c r="F35" s="74">
        <f>_xlfn.XLOOKUP(B35,[1]Elevage!A:A,[1]Elevage!B:B)</f>
        <v>46112</v>
      </c>
      <c r="G35" s="73" t="str">
        <f t="shared" si="2"/>
        <v>Eco-antibio2</v>
      </c>
      <c r="H35" s="73">
        <f t="shared" si="1"/>
        <v>0</v>
      </c>
      <c r="I35" s="85">
        <v>0</v>
      </c>
      <c r="J35" s="85" t="s">
        <v>966</v>
      </c>
      <c r="K35" s="85">
        <v>0</v>
      </c>
      <c r="L35" s="85" t="s">
        <v>966</v>
      </c>
      <c r="M35" s="85"/>
      <c r="N35" s="85"/>
      <c r="O35" s="85"/>
      <c r="P35" s="104"/>
      <c r="Q35" s="85"/>
      <c r="V35" s="127"/>
      <c r="W35" s="127"/>
      <c r="X35" s="127"/>
      <c r="Y35" s="127"/>
      <c r="Z35" s="127"/>
      <c r="AA35" s="127"/>
      <c r="AB35" s="127"/>
      <c r="AC35" s="127"/>
      <c r="AJ35" s="73">
        <v>1</v>
      </c>
    </row>
    <row r="36" spans="1:36" hidden="1" x14ac:dyDescent="0.2">
      <c r="A36" s="102" t="s">
        <v>942</v>
      </c>
      <c r="B36" t="str">
        <f t="shared" si="4"/>
        <v>FK-014</v>
      </c>
      <c r="C36" t="s">
        <v>29</v>
      </c>
      <c r="D36" t="s">
        <v>32</v>
      </c>
      <c r="E36" s="2" t="str">
        <f t="shared" si="0"/>
        <v>FK-014Mp</v>
      </c>
      <c r="F36" s="2">
        <f>_xlfn.XLOOKUP(B36,[1]Elevage!A:A,[1]Elevage!B:B)</f>
        <v>46112</v>
      </c>
      <c r="G36" t="str">
        <f t="shared" si="2"/>
        <v>Eco-antibio2</v>
      </c>
      <c r="H36">
        <f>IF(AND(I36=0,K36=0),0,1)</f>
        <v>0</v>
      </c>
      <c r="I36" s="84">
        <v>0</v>
      </c>
      <c r="J36" s="84" t="s">
        <v>966</v>
      </c>
      <c r="K36" s="84">
        <v>0</v>
      </c>
      <c r="L36" s="84" t="s">
        <v>966</v>
      </c>
      <c r="M36" s="84"/>
      <c r="N36" s="98"/>
      <c r="O36" s="96"/>
      <c r="P36" s="97"/>
      <c r="Q36" s="98"/>
      <c r="R36" s="98"/>
      <c r="S36" s="96"/>
      <c r="T36" s="96"/>
      <c r="U36" s="96"/>
      <c r="V36" s="99"/>
      <c r="W36" s="100"/>
      <c r="X36" s="100"/>
      <c r="Y36" s="100"/>
      <c r="Z36" s="100"/>
      <c r="AA36" s="100"/>
      <c r="AB36" s="100"/>
      <c r="AC36" s="100"/>
      <c r="AD36" s="94"/>
      <c r="AH36" t="s">
        <v>1203</v>
      </c>
      <c r="AI36">
        <v>0</v>
      </c>
      <c r="AJ36">
        <v>1</v>
      </c>
    </row>
    <row r="37" spans="1:36" hidden="1" x14ac:dyDescent="0.2">
      <c r="A37" t="s">
        <v>942</v>
      </c>
      <c r="B37" t="str">
        <f t="shared" si="4"/>
        <v>FK-014</v>
      </c>
      <c r="C37" t="s">
        <v>31</v>
      </c>
      <c r="D37" t="s">
        <v>30</v>
      </c>
      <c r="E37" s="2" t="str">
        <f t="shared" si="0"/>
        <v>FK-014Fe</v>
      </c>
      <c r="F37" s="2">
        <f>_xlfn.XLOOKUP(B37,[1]Elevage!A:A,[1]Elevage!B:B)</f>
        <v>46112</v>
      </c>
      <c r="G37" t="str">
        <f t="shared" si="2"/>
        <v>Eco-antibio2</v>
      </c>
      <c r="H37">
        <f t="shared" si="1"/>
        <v>0</v>
      </c>
      <c r="I37" s="84">
        <v>0</v>
      </c>
      <c r="J37" s="84" t="s">
        <v>966</v>
      </c>
      <c r="K37" s="84">
        <v>0</v>
      </c>
      <c r="L37" s="84" t="s">
        <v>966</v>
      </c>
      <c r="M37" s="84"/>
      <c r="N37" s="84"/>
      <c r="O37" s="84"/>
      <c r="P37" s="105"/>
      <c r="Q37" s="84"/>
      <c r="AJ37">
        <v>1</v>
      </c>
    </row>
    <row r="38" spans="1:36" s="73" customFormat="1" hidden="1" x14ac:dyDescent="0.2">
      <c r="A38" s="73" t="s">
        <v>942</v>
      </c>
      <c r="B38" s="73" t="str">
        <f t="shared" si="4"/>
        <v>FK-015</v>
      </c>
      <c r="C38" s="73" t="s">
        <v>29</v>
      </c>
      <c r="D38" s="73" t="s">
        <v>30</v>
      </c>
      <c r="E38" s="74" t="str">
        <f t="shared" si="0"/>
        <v>FK-015Fp</v>
      </c>
      <c r="F38" s="74">
        <f>_xlfn.XLOOKUP(B38,[1]Elevage!A:A,[1]Elevage!B:B)</f>
        <v>46113</v>
      </c>
      <c r="G38" s="73" t="str">
        <f t="shared" si="2"/>
        <v>Eco-antibio2</v>
      </c>
      <c r="H38" s="73">
        <f t="shared" si="1"/>
        <v>0</v>
      </c>
      <c r="I38" s="85">
        <v>0</v>
      </c>
      <c r="J38" s="85" t="s">
        <v>966</v>
      </c>
      <c r="K38" s="85">
        <v>0</v>
      </c>
      <c r="L38" s="85" t="s">
        <v>966</v>
      </c>
      <c r="M38" s="85"/>
      <c r="N38" s="85"/>
      <c r="O38" s="85"/>
      <c r="P38" s="85"/>
      <c r="Q38" s="85"/>
      <c r="V38" s="127"/>
      <c r="W38" s="127"/>
      <c r="X38" s="127"/>
      <c r="Y38" s="127"/>
      <c r="Z38" s="127"/>
      <c r="AA38" s="127"/>
      <c r="AB38" s="127"/>
      <c r="AC38" s="127"/>
      <c r="AJ38" s="73">
        <v>0</v>
      </c>
    </row>
    <row r="39" spans="1:36" hidden="1" x14ac:dyDescent="0.2">
      <c r="A39" t="s">
        <v>942</v>
      </c>
      <c r="B39" t="str">
        <f t="shared" si="4"/>
        <v>FK-015</v>
      </c>
      <c r="C39" t="s">
        <v>29</v>
      </c>
      <c r="D39" t="s">
        <v>32</v>
      </c>
      <c r="E39" s="2" t="str">
        <f t="shared" si="0"/>
        <v>FK-015Mp</v>
      </c>
      <c r="F39" s="2">
        <f>_xlfn.XLOOKUP(B39,[1]Elevage!A:A,[1]Elevage!B:B)</f>
        <v>46113</v>
      </c>
      <c r="G39" t="str">
        <f t="shared" si="2"/>
        <v>Eco-antibio2</v>
      </c>
      <c r="H39">
        <f t="shared" si="1"/>
        <v>0</v>
      </c>
      <c r="I39" s="84">
        <v>0</v>
      </c>
      <c r="J39" s="84" t="s">
        <v>966</v>
      </c>
      <c r="K39" s="84">
        <v>0</v>
      </c>
      <c r="L39" s="84" t="s">
        <v>966</v>
      </c>
      <c r="M39" s="84"/>
      <c r="N39" s="84"/>
      <c r="O39" s="84"/>
      <c r="AJ39">
        <v>0</v>
      </c>
    </row>
    <row r="40" spans="1:36" hidden="1" x14ac:dyDescent="0.2">
      <c r="A40" t="s">
        <v>942</v>
      </c>
      <c r="B40" t="str">
        <f t="shared" si="4"/>
        <v>FK-015</v>
      </c>
      <c r="C40" t="s">
        <v>31</v>
      </c>
      <c r="D40" t="s">
        <v>30</v>
      </c>
      <c r="E40" s="2" t="str">
        <f t="shared" si="0"/>
        <v>FK-015Fe</v>
      </c>
      <c r="F40" s="2">
        <f>_xlfn.XLOOKUP(B40,[1]Elevage!A:A,[1]Elevage!B:B)</f>
        <v>46113</v>
      </c>
      <c r="G40" t="str">
        <f t="shared" si="2"/>
        <v>Eco-antibio2</v>
      </c>
      <c r="H40">
        <f t="shared" si="1"/>
        <v>0</v>
      </c>
      <c r="I40" s="84">
        <v>0</v>
      </c>
      <c r="J40" s="84" t="s">
        <v>966</v>
      </c>
      <c r="K40" s="84">
        <v>0</v>
      </c>
      <c r="L40" s="84" t="s">
        <v>966</v>
      </c>
      <c r="N40" s="84"/>
      <c r="O40" s="84"/>
      <c r="AJ40">
        <v>0</v>
      </c>
    </row>
    <row r="41" spans="1:36" s="73" customFormat="1" hidden="1" x14ac:dyDescent="0.2">
      <c r="A41" s="73" t="s">
        <v>942</v>
      </c>
      <c r="B41" s="73" t="str">
        <f t="shared" si="4"/>
        <v>FK-016</v>
      </c>
      <c r="C41" s="73" t="s">
        <v>29</v>
      </c>
      <c r="D41" s="73" t="s">
        <v>30</v>
      </c>
      <c r="E41" s="74" t="str">
        <f t="shared" si="0"/>
        <v>FK-016Fp</v>
      </c>
      <c r="F41" s="74">
        <f>_xlfn.XLOOKUP(B41,[1]Elevage!A:A,[1]Elevage!B:B)</f>
        <v>46113</v>
      </c>
      <c r="G41" s="73" t="str">
        <f t="shared" si="2"/>
        <v>Eco-antibio2</v>
      </c>
      <c r="H41" s="73">
        <f t="shared" si="1"/>
        <v>0</v>
      </c>
      <c r="I41" s="85">
        <v>0</v>
      </c>
      <c r="J41" s="85" t="s">
        <v>966</v>
      </c>
      <c r="K41" s="85">
        <v>0</v>
      </c>
      <c r="L41" s="85" t="s">
        <v>966</v>
      </c>
      <c r="N41" s="85"/>
      <c r="O41" s="85"/>
      <c r="V41" s="127"/>
      <c r="W41" s="127"/>
      <c r="X41" s="127"/>
      <c r="Y41" s="127"/>
      <c r="Z41" s="127"/>
      <c r="AA41" s="127"/>
      <c r="AB41" s="127"/>
      <c r="AC41" s="127"/>
      <c r="AJ41" s="73">
        <v>0</v>
      </c>
    </row>
    <row r="42" spans="1:36" hidden="1" x14ac:dyDescent="0.2">
      <c r="A42" t="s">
        <v>942</v>
      </c>
      <c r="B42" t="str">
        <f t="shared" si="4"/>
        <v>FK-016</v>
      </c>
      <c r="C42" t="s">
        <v>29</v>
      </c>
      <c r="D42" t="s">
        <v>32</v>
      </c>
      <c r="E42" s="2" t="str">
        <f t="shared" si="0"/>
        <v>FK-016Mp</v>
      </c>
      <c r="F42" s="2">
        <f>_xlfn.XLOOKUP(B42,[1]Elevage!A:A,[1]Elevage!B:B)</f>
        <v>46113</v>
      </c>
      <c r="G42" t="str">
        <f t="shared" si="2"/>
        <v>Eco-antibio2</v>
      </c>
      <c r="H42">
        <f t="shared" si="1"/>
        <v>0</v>
      </c>
      <c r="I42" s="84">
        <v>0</v>
      </c>
      <c r="J42" s="84" t="s">
        <v>966</v>
      </c>
      <c r="K42" s="84">
        <v>0</v>
      </c>
      <c r="L42" s="84" t="s">
        <v>966</v>
      </c>
      <c r="N42" s="84"/>
      <c r="O42" s="84"/>
      <c r="AJ42">
        <v>0</v>
      </c>
    </row>
    <row r="43" spans="1:36" hidden="1" x14ac:dyDescent="0.2">
      <c r="A43" t="s">
        <v>942</v>
      </c>
      <c r="B43" t="str">
        <f t="shared" si="4"/>
        <v>FK-016</v>
      </c>
      <c r="C43" t="s">
        <v>31</v>
      </c>
      <c r="D43" t="s">
        <v>30</v>
      </c>
      <c r="E43" s="2" t="str">
        <f t="shared" si="0"/>
        <v>FK-016Fe</v>
      </c>
      <c r="F43" s="2">
        <f>_xlfn.XLOOKUP(B43,[1]Elevage!A:A,[1]Elevage!B:B)</f>
        <v>46113</v>
      </c>
      <c r="G43" t="str">
        <f t="shared" si="2"/>
        <v>Eco-antibio2</v>
      </c>
      <c r="H43">
        <f t="shared" si="1"/>
        <v>0</v>
      </c>
      <c r="I43" s="84">
        <v>0</v>
      </c>
      <c r="J43" s="84" t="s">
        <v>966</v>
      </c>
      <c r="K43" s="84">
        <v>0</v>
      </c>
      <c r="L43" s="84" t="s">
        <v>966</v>
      </c>
      <c r="N43" s="84"/>
      <c r="O43" s="84"/>
      <c r="AJ43">
        <v>0</v>
      </c>
    </row>
    <row r="44" spans="1:36" s="73" customFormat="1" hidden="1" x14ac:dyDescent="0.2">
      <c r="A44" s="73" t="s">
        <v>942</v>
      </c>
      <c r="B44" s="73" t="str">
        <f t="shared" si="4"/>
        <v>FK-017</v>
      </c>
      <c r="C44" s="73" t="s">
        <v>29</v>
      </c>
      <c r="D44" s="73" t="s">
        <v>30</v>
      </c>
      <c r="E44" s="74" t="str">
        <f t="shared" si="0"/>
        <v>FK-017Fp</v>
      </c>
      <c r="F44" s="74">
        <f>_xlfn.XLOOKUP(B44,[1]Elevage!A:A,[1]Elevage!B:B)</f>
        <v>46113</v>
      </c>
      <c r="G44" s="73" t="str">
        <f t="shared" si="2"/>
        <v>Eco-antibio2</v>
      </c>
      <c r="H44" s="73">
        <f t="shared" si="1"/>
        <v>0</v>
      </c>
      <c r="I44" s="85">
        <v>0</v>
      </c>
      <c r="J44" s="85" t="s">
        <v>966</v>
      </c>
      <c r="K44" s="85">
        <v>0</v>
      </c>
      <c r="L44" s="85" t="s">
        <v>966</v>
      </c>
      <c r="N44" s="85"/>
      <c r="O44" s="85"/>
      <c r="V44" s="127"/>
      <c r="W44" s="127"/>
      <c r="X44" s="127"/>
      <c r="Y44" s="127"/>
      <c r="Z44" s="127"/>
      <c r="AA44" s="127"/>
      <c r="AB44" s="127"/>
      <c r="AC44" s="127"/>
      <c r="AJ44" s="73">
        <v>0</v>
      </c>
    </row>
    <row r="45" spans="1:36" hidden="1" x14ac:dyDescent="0.2">
      <c r="A45" t="s">
        <v>942</v>
      </c>
      <c r="B45" t="str">
        <f t="shared" si="4"/>
        <v>FK-017</v>
      </c>
      <c r="C45" t="s">
        <v>29</v>
      </c>
      <c r="D45" t="s">
        <v>32</v>
      </c>
      <c r="E45" s="2" t="str">
        <f t="shared" si="0"/>
        <v>FK-017Mp</v>
      </c>
      <c r="F45" s="2">
        <f>_xlfn.XLOOKUP(B45,[1]Elevage!A:A,[1]Elevage!B:B)</f>
        <v>46113</v>
      </c>
      <c r="G45" t="str">
        <f t="shared" si="2"/>
        <v>Eco-antibio2</v>
      </c>
      <c r="H45">
        <f t="shared" si="1"/>
        <v>0</v>
      </c>
      <c r="I45" s="84">
        <v>0</v>
      </c>
      <c r="J45" s="84" t="s">
        <v>966</v>
      </c>
      <c r="K45" s="84">
        <v>0</v>
      </c>
      <c r="L45" s="84" t="s">
        <v>966</v>
      </c>
      <c r="N45" s="84"/>
      <c r="O45" s="84"/>
      <c r="AJ45">
        <v>0</v>
      </c>
    </row>
    <row r="46" spans="1:36" hidden="1" x14ac:dyDescent="0.2">
      <c r="A46" t="s">
        <v>942</v>
      </c>
      <c r="B46" t="str">
        <f t="shared" si="4"/>
        <v>FK-017</v>
      </c>
      <c r="C46" t="s">
        <v>31</v>
      </c>
      <c r="D46" t="s">
        <v>30</v>
      </c>
      <c r="E46" s="2" t="str">
        <f t="shared" si="0"/>
        <v>FK-017Fe</v>
      </c>
      <c r="F46" s="2">
        <f>_xlfn.XLOOKUP(B46,[1]Elevage!A:A,[1]Elevage!B:B)</f>
        <v>46113</v>
      </c>
      <c r="G46" t="str">
        <f t="shared" si="2"/>
        <v>Eco-antibio2</v>
      </c>
      <c r="H46">
        <f t="shared" si="1"/>
        <v>0</v>
      </c>
      <c r="I46" s="84">
        <v>0</v>
      </c>
      <c r="J46" s="84" t="s">
        <v>966</v>
      </c>
      <c r="K46" s="84">
        <v>0</v>
      </c>
      <c r="L46" s="84" t="s">
        <v>966</v>
      </c>
      <c r="N46" s="84"/>
      <c r="O46" s="84"/>
      <c r="AJ46">
        <v>0</v>
      </c>
    </row>
    <row r="47" spans="1:36" s="73" customFormat="1" hidden="1" x14ac:dyDescent="0.2">
      <c r="A47" s="73" t="s">
        <v>942</v>
      </c>
      <c r="B47" s="73" t="str">
        <f t="shared" si="4"/>
        <v>FK-018</v>
      </c>
      <c r="C47" s="73" t="s">
        <v>29</v>
      </c>
      <c r="D47" s="73" t="s">
        <v>30</v>
      </c>
      <c r="E47" s="74" t="str">
        <f t="shared" si="0"/>
        <v>FK-018Fp</v>
      </c>
      <c r="F47" s="74">
        <f>_xlfn.XLOOKUP(B47,[1]Elevage!A:A,[1]Elevage!B:B)</f>
        <v>46114</v>
      </c>
      <c r="G47" s="73" t="str">
        <f t="shared" si="2"/>
        <v>Eco-antibio2</v>
      </c>
      <c r="H47" s="73">
        <f t="shared" si="1"/>
        <v>0</v>
      </c>
      <c r="I47" s="85">
        <v>0</v>
      </c>
      <c r="J47" s="85" t="s">
        <v>966</v>
      </c>
      <c r="K47" s="85">
        <v>0</v>
      </c>
      <c r="L47" s="85" t="s">
        <v>966</v>
      </c>
      <c r="N47" s="85"/>
      <c r="O47" s="85"/>
      <c r="V47" s="127"/>
      <c r="W47" s="127"/>
      <c r="X47" s="127"/>
      <c r="Y47" s="127"/>
      <c r="Z47" s="127"/>
      <c r="AA47" s="127"/>
      <c r="AB47" s="127"/>
      <c r="AC47" s="127"/>
      <c r="AJ47" s="73">
        <v>0</v>
      </c>
    </row>
    <row r="48" spans="1:36" hidden="1" x14ac:dyDescent="0.2">
      <c r="A48" t="s">
        <v>942</v>
      </c>
      <c r="B48" t="str">
        <f t="shared" si="4"/>
        <v>FK-018</v>
      </c>
      <c r="C48" t="s">
        <v>29</v>
      </c>
      <c r="D48" t="s">
        <v>32</v>
      </c>
      <c r="E48" s="2" t="str">
        <f t="shared" si="0"/>
        <v>FK-018Mp</v>
      </c>
      <c r="F48" s="2">
        <f>_xlfn.XLOOKUP(B48,[1]Elevage!A:A,[1]Elevage!B:B)</f>
        <v>46114</v>
      </c>
      <c r="G48" t="str">
        <f t="shared" si="2"/>
        <v>Eco-antibio2</v>
      </c>
      <c r="H48">
        <f t="shared" si="1"/>
        <v>0</v>
      </c>
      <c r="I48" s="84">
        <v>0</v>
      </c>
      <c r="J48" s="84" t="s">
        <v>966</v>
      </c>
      <c r="K48" s="84">
        <v>0</v>
      </c>
      <c r="L48" s="84" t="s">
        <v>966</v>
      </c>
      <c r="N48" s="84"/>
      <c r="O48" s="84"/>
      <c r="AJ48">
        <v>0</v>
      </c>
    </row>
    <row r="49" spans="1:36" hidden="1" x14ac:dyDescent="0.2">
      <c r="A49" t="s">
        <v>942</v>
      </c>
      <c r="B49" t="str">
        <f t="shared" si="4"/>
        <v>FK-018</v>
      </c>
      <c r="C49" t="s">
        <v>31</v>
      </c>
      <c r="D49" t="s">
        <v>30</v>
      </c>
      <c r="E49" s="2" t="str">
        <f t="shared" si="0"/>
        <v>FK-018Fe</v>
      </c>
      <c r="F49" s="2">
        <f>_xlfn.XLOOKUP(B49,[1]Elevage!A:A,[1]Elevage!B:B)</f>
        <v>46114</v>
      </c>
      <c r="G49" t="str">
        <f t="shared" si="2"/>
        <v>Eco-antibio2</v>
      </c>
      <c r="H49">
        <f t="shared" si="1"/>
        <v>0</v>
      </c>
      <c r="I49" s="84">
        <v>0</v>
      </c>
      <c r="J49" s="84" t="s">
        <v>966</v>
      </c>
      <c r="K49" s="84">
        <v>0</v>
      </c>
      <c r="L49" s="84" t="s">
        <v>966</v>
      </c>
      <c r="N49" s="84"/>
      <c r="O49" s="84"/>
      <c r="AJ49">
        <v>0</v>
      </c>
    </row>
    <row r="50" spans="1:36" s="73" customFormat="1" hidden="1" x14ac:dyDescent="0.2">
      <c r="A50" s="73" t="s">
        <v>942</v>
      </c>
      <c r="B50" s="73" t="str">
        <f t="shared" si="4"/>
        <v>FK-019</v>
      </c>
      <c r="C50" s="73" t="s">
        <v>29</v>
      </c>
      <c r="D50" s="73" t="s">
        <v>30</v>
      </c>
      <c r="E50" s="74" t="str">
        <f t="shared" si="0"/>
        <v>FK-019Fp</v>
      </c>
      <c r="F50" s="74">
        <f>_xlfn.XLOOKUP(B50,[1]Elevage!A:A,[1]Elevage!B:B)</f>
        <v>46114</v>
      </c>
      <c r="G50" s="73" t="str">
        <f t="shared" si="2"/>
        <v>Eco-antibio2</v>
      </c>
      <c r="H50" s="73">
        <f t="shared" si="1"/>
        <v>0</v>
      </c>
      <c r="I50" s="85">
        <v>0</v>
      </c>
      <c r="J50" s="85" t="s">
        <v>966</v>
      </c>
      <c r="K50" s="85">
        <v>0</v>
      </c>
      <c r="L50" s="85" t="s">
        <v>966</v>
      </c>
      <c r="N50" s="85"/>
      <c r="O50" s="85"/>
      <c r="V50" s="127"/>
      <c r="W50" s="127"/>
      <c r="X50" s="127"/>
      <c r="Y50" s="127"/>
      <c r="Z50" s="127"/>
      <c r="AA50" s="127"/>
      <c r="AB50" s="127"/>
      <c r="AC50" s="127"/>
      <c r="AJ50" s="73">
        <v>0</v>
      </c>
    </row>
    <row r="51" spans="1:36" hidden="1" x14ac:dyDescent="0.2">
      <c r="A51" t="s">
        <v>942</v>
      </c>
      <c r="B51" t="str">
        <f t="shared" si="4"/>
        <v>FK-019</v>
      </c>
      <c r="C51" t="s">
        <v>29</v>
      </c>
      <c r="D51" t="s">
        <v>32</v>
      </c>
      <c r="E51" s="2" t="str">
        <f t="shared" si="0"/>
        <v>FK-019Mp</v>
      </c>
      <c r="F51" s="2">
        <f>_xlfn.XLOOKUP(B51,[1]Elevage!A:A,[1]Elevage!B:B)</f>
        <v>46114</v>
      </c>
      <c r="G51" t="str">
        <f t="shared" si="2"/>
        <v>Eco-antibio2</v>
      </c>
      <c r="H51">
        <f t="shared" si="1"/>
        <v>0</v>
      </c>
      <c r="I51" s="84">
        <v>0</v>
      </c>
      <c r="J51" s="84" t="s">
        <v>966</v>
      </c>
      <c r="K51" s="84">
        <v>0</v>
      </c>
      <c r="L51" s="84" t="s">
        <v>966</v>
      </c>
      <c r="N51" s="84"/>
      <c r="O51" s="84"/>
      <c r="AJ51">
        <v>0</v>
      </c>
    </row>
    <row r="52" spans="1:36" hidden="1" x14ac:dyDescent="0.2">
      <c r="A52" t="s">
        <v>942</v>
      </c>
      <c r="B52" t="str">
        <f t="shared" si="4"/>
        <v>FK-019</v>
      </c>
      <c r="C52" t="s">
        <v>31</v>
      </c>
      <c r="D52" t="s">
        <v>30</v>
      </c>
      <c r="E52" s="2" t="str">
        <f t="shared" si="0"/>
        <v>FK-019Fe</v>
      </c>
      <c r="F52" s="2">
        <f>_xlfn.XLOOKUP(B52,[1]Elevage!A:A,[1]Elevage!B:B)</f>
        <v>46114</v>
      </c>
      <c r="G52" t="str">
        <f t="shared" si="2"/>
        <v>Eco-antibio2</v>
      </c>
      <c r="H52">
        <f t="shared" si="1"/>
        <v>0</v>
      </c>
      <c r="I52" s="84">
        <v>0</v>
      </c>
      <c r="J52" s="84" t="s">
        <v>966</v>
      </c>
      <c r="K52" s="84">
        <v>0</v>
      </c>
      <c r="L52" s="84" t="s">
        <v>966</v>
      </c>
      <c r="N52" s="84"/>
      <c r="O52" s="84"/>
      <c r="AJ52">
        <v>0</v>
      </c>
    </row>
    <row r="53" spans="1:36" s="73" customFormat="1" hidden="1" x14ac:dyDescent="0.2">
      <c r="A53" s="73" t="s">
        <v>942</v>
      </c>
      <c r="B53" s="73" t="str">
        <f t="shared" si="4"/>
        <v>FK-020</v>
      </c>
      <c r="C53" s="73" t="s">
        <v>29</v>
      </c>
      <c r="D53" s="73" t="s">
        <v>30</v>
      </c>
      <c r="E53" s="74" t="str">
        <f t="shared" si="0"/>
        <v>FK-020Fp</v>
      </c>
      <c r="F53" s="74">
        <f>_xlfn.XLOOKUP(B53,[1]Elevage!A:A,[1]Elevage!B:B)</f>
        <v>46114</v>
      </c>
      <c r="G53" s="73" t="str">
        <f t="shared" si="2"/>
        <v>Eco-antibio2</v>
      </c>
      <c r="H53" s="73">
        <f t="shared" si="1"/>
        <v>0</v>
      </c>
      <c r="I53" s="85">
        <v>0</v>
      </c>
      <c r="J53" s="85" t="s">
        <v>966</v>
      </c>
      <c r="K53" s="85">
        <v>0</v>
      </c>
      <c r="L53" s="85" t="s">
        <v>966</v>
      </c>
      <c r="M53" s="85"/>
      <c r="N53" s="85"/>
      <c r="O53" s="85"/>
      <c r="V53" s="127"/>
      <c r="W53" s="127"/>
      <c r="X53" s="127"/>
      <c r="Y53" s="127"/>
      <c r="Z53" s="127"/>
      <c r="AA53" s="127"/>
      <c r="AB53" s="127"/>
      <c r="AC53" s="127"/>
      <c r="AJ53" s="73">
        <v>0</v>
      </c>
    </row>
    <row r="54" spans="1:36" hidden="1" x14ac:dyDescent="0.2">
      <c r="A54" t="s">
        <v>942</v>
      </c>
      <c r="B54" t="str">
        <f t="shared" si="4"/>
        <v>FK-020</v>
      </c>
      <c r="C54" t="s">
        <v>29</v>
      </c>
      <c r="D54" t="s">
        <v>32</v>
      </c>
      <c r="E54" s="2" t="str">
        <f t="shared" si="0"/>
        <v>FK-020Mp</v>
      </c>
      <c r="F54" s="2">
        <f>_xlfn.XLOOKUP(B54,[1]Elevage!A:A,[1]Elevage!B:B)</f>
        <v>46114</v>
      </c>
      <c r="G54" t="str">
        <f t="shared" si="2"/>
        <v>Eco-antibio2</v>
      </c>
      <c r="H54">
        <f t="shared" si="1"/>
        <v>0</v>
      </c>
      <c r="I54" s="84">
        <v>0</v>
      </c>
      <c r="J54" s="84" t="s">
        <v>966</v>
      </c>
      <c r="K54" s="84">
        <v>0</v>
      </c>
      <c r="L54" s="84" t="s">
        <v>966</v>
      </c>
      <c r="M54" s="84"/>
      <c r="N54" s="84"/>
      <c r="O54" s="84"/>
      <c r="AJ54">
        <v>0</v>
      </c>
    </row>
    <row r="55" spans="1:36" hidden="1" x14ac:dyDescent="0.2">
      <c r="A55" t="s">
        <v>942</v>
      </c>
      <c r="B55" t="str">
        <f t="shared" si="4"/>
        <v>FK-020</v>
      </c>
      <c r="C55" t="s">
        <v>31</v>
      </c>
      <c r="D55" t="s">
        <v>30</v>
      </c>
      <c r="E55" s="2" t="str">
        <f t="shared" si="0"/>
        <v>FK-020Fe</v>
      </c>
      <c r="F55" s="2">
        <f>_xlfn.XLOOKUP(B55,[1]Elevage!A:A,[1]Elevage!B:B)</f>
        <v>46114</v>
      </c>
      <c r="G55" t="str">
        <f t="shared" si="2"/>
        <v>Eco-antibio2</v>
      </c>
      <c r="H55">
        <f t="shared" si="1"/>
        <v>0</v>
      </c>
      <c r="I55" s="84">
        <v>0</v>
      </c>
      <c r="J55" s="84" t="s">
        <v>966</v>
      </c>
      <c r="K55" s="84">
        <v>0</v>
      </c>
      <c r="L55" s="84" t="s">
        <v>966</v>
      </c>
      <c r="M55" s="84"/>
      <c r="N55" s="84"/>
      <c r="O55" s="84"/>
      <c r="AJ55">
        <v>0</v>
      </c>
    </row>
    <row r="56" spans="1:36" s="73" customFormat="1" hidden="1" x14ac:dyDescent="0.2">
      <c r="A56" s="73" t="s">
        <v>942</v>
      </c>
      <c r="B56" s="73" t="str">
        <f t="shared" si="4"/>
        <v>FK-021</v>
      </c>
      <c r="C56" s="73" t="s">
        <v>29</v>
      </c>
      <c r="D56" s="73" t="s">
        <v>30</v>
      </c>
      <c r="E56" s="74" t="str">
        <f t="shared" si="0"/>
        <v>FK-021Fp</v>
      </c>
      <c r="F56" s="74">
        <f>_xlfn.XLOOKUP(B56,[1]Elevage!A:A,[1]Elevage!B:B)</f>
        <v>46114</v>
      </c>
      <c r="G56" s="73" t="str">
        <f t="shared" si="2"/>
        <v>Eco-antibio2</v>
      </c>
      <c r="H56" s="73">
        <f t="shared" si="1"/>
        <v>0</v>
      </c>
      <c r="I56" s="85">
        <v>0</v>
      </c>
      <c r="J56" s="85" t="s">
        <v>966</v>
      </c>
      <c r="K56" s="85">
        <v>0</v>
      </c>
      <c r="L56" s="85" t="s">
        <v>966</v>
      </c>
      <c r="M56" s="85"/>
      <c r="N56" s="85"/>
      <c r="O56" s="85"/>
      <c r="V56" s="127"/>
      <c r="W56" s="127"/>
      <c r="X56" s="127"/>
      <c r="Y56" s="127"/>
      <c r="Z56" s="127"/>
      <c r="AA56" s="127"/>
      <c r="AB56" s="127"/>
      <c r="AC56" s="127"/>
      <c r="AJ56" s="73">
        <v>0</v>
      </c>
    </row>
    <row r="57" spans="1:36" hidden="1" x14ac:dyDescent="0.2">
      <c r="A57" t="s">
        <v>942</v>
      </c>
      <c r="B57" t="str">
        <f t="shared" si="4"/>
        <v>FK-021</v>
      </c>
      <c r="C57" t="s">
        <v>29</v>
      </c>
      <c r="D57" t="s">
        <v>32</v>
      </c>
      <c r="E57" s="2" t="str">
        <f t="shared" si="0"/>
        <v>FK-021Mp</v>
      </c>
      <c r="F57" s="2">
        <f>_xlfn.XLOOKUP(B57,[1]Elevage!A:A,[1]Elevage!B:B)</f>
        <v>46114</v>
      </c>
      <c r="G57" t="str">
        <f t="shared" si="2"/>
        <v>Eco-antibio2</v>
      </c>
      <c r="H57">
        <f t="shared" si="1"/>
        <v>0</v>
      </c>
      <c r="I57" s="84">
        <v>0</v>
      </c>
      <c r="J57" s="84" t="s">
        <v>966</v>
      </c>
      <c r="K57" s="84">
        <v>0</v>
      </c>
      <c r="L57" s="84" t="s">
        <v>966</v>
      </c>
      <c r="M57" s="84"/>
      <c r="N57" s="84"/>
      <c r="O57" s="84"/>
      <c r="AJ57">
        <v>0</v>
      </c>
    </row>
    <row r="58" spans="1:36" hidden="1" x14ac:dyDescent="0.2">
      <c r="A58" t="s">
        <v>942</v>
      </c>
      <c r="B58" t="str">
        <f t="shared" si="4"/>
        <v>FK-021</v>
      </c>
      <c r="C58" t="s">
        <v>31</v>
      </c>
      <c r="D58" t="s">
        <v>30</v>
      </c>
      <c r="E58" s="2" t="str">
        <f t="shared" si="0"/>
        <v>FK-021Fe</v>
      </c>
      <c r="F58" s="2">
        <f>_xlfn.XLOOKUP(B58,[1]Elevage!A:A,[1]Elevage!B:B)</f>
        <v>46114</v>
      </c>
      <c r="G58" t="str">
        <f t="shared" si="2"/>
        <v>Eco-antibio2</v>
      </c>
      <c r="H58">
        <f t="shared" si="1"/>
        <v>0</v>
      </c>
      <c r="I58" s="84">
        <v>0</v>
      </c>
      <c r="J58" s="84" t="s">
        <v>966</v>
      </c>
      <c r="K58" s="84">
        <v>0</v>
      </c>
      <c r="L58" s="84" t="s">
        <v>966</v>
      </c>
      <c r="M58" s="84"/>
      <c r="N58" s="84"/>
      <c r="O58" s="84"/>
      <c r="AJ58">
        <v>0</v>
      </c>
    </row>
    <row r="59" spans="1:36" s="73" customFormat="1" hidden="1" x14ac:dyDescent="0.2">
      <c r="A59" s="73" t="s">
        <v>942</v>
      </c>
      <c r="B59" s="73" t="str">
        <f t="shared" si="4"/>
        <v>FK-022</v>
      </c>
      <c r="C59" s="73" t="s">
        <v>29</v>
      </c>
      <c r="D59" s="73" t="s">
        <v>30</v>
      </c>
      <c r="E59" s="74" t="str">
        <f t="shared" si="0"/>
        <v>FK-022Fp</v>
      </c>
      <c r="F59" s="74">
        <f>_xlfn.XLOOKUP(B59,[1]Elevage!A:A,[1]Elevage!B:B)</f>
        <v>46120</v>
      </c>
      <c r="G59" s="73" t="str">
        <f t="shared" si="2"/>
        <v>Eco-antibio2</v>
      </c>
      <c r="H59" s="73">
        <f t="shared" si="1"/>
        <v>0</v>
      </c>
      <c r="I59" s="85">
        <v>0</v>
      </c>
      <c r="J59" s="85" t="s">
        <v>966</v>
      </c>
      <c r="K59" s="85">
        <v>0</v>
      </c>
      <c r="L59" s="85" t="s">
        <v>966</v>
      </c>
      <c r="M59" s="85"/>
      <c r="N59" s="85"/>
      <c r="O59" s="85"/>
      <c r="V59" s="127"/>
      <c r="W59" s="127"/>
      <c r="X59" s="127"/>
      <c r="Y59" s="127"/>
      <c r="Z59" s="127"/>
      <c r="AA59" s="127"/>
      <c r="AB59" s="127"/>
      <c r="AC59" s="127"/>
      <c r="AJ59" s="73">
        <v>0</v>
      </c>
    </row>
    <row r="60" spans="1:36" hidden="1" x14ac:dyDescent="0.2">
      <c r="A60" t="s">
        <v>942</v>
      </c>
      <c r="B60" t="str">
        <f t="shared" si="4"/>
        <v>FK-022</v>
      </c>
      <c r="C60" t="s">
        <v>29</v>
      </c>
      <c r="D60" t="s">
        <v>32</v>
      </c>
      <c r="E60" s="2" t="str">
        <f t="shared" si="0"/>
        <v>FK-022Mp</v>
      </c>
      <c r="F60" s="2">
        <f>_xlfn.XLOOKUP(B60,[1]Elevage!A:A,[1]Elevage!B:B)</f>
        <v>46120</v>
      </c>
      <c r="G60" t="str">
        <f>G59</f>
        <v>Eco-antibio2</v>
      </c>
      <c r="H60">
        <f t="shared" si="1"/>
        <v>0</v>
      </c>
      <c r="I60" s="84">
        <v>0</v>
      </c>
      <c r="J60" s="84" t="s">
        <v>966</v>
      </c>
      <c r="K60" s="84">
        <v>0</v>
      </c>
      <c r="L60" s="84" t="s">
        <v>966</v>
      </c>
      <c r="M60" s="84"/>
      <c r="N60" s="84"/>
      <c r="O60" s="84"/>
      <c r="AJ60">
        <v>0</v>
      </c>
    </row>
    <row r="61" spans="1:36" hidden="1" x14ac:dyDescent="0.2">
      <c r="A61" t="s">
        <v>942</v>
      </c>
      <c r="B61" t="str">
        <f t="shared" si="4"/>
        <v>FK-022</v>
      </c>
      <c r="C61" t="s">
        <v>31</v>
      </c>
      <c r="D61" t="s">
        <v>30</v>
      </c>
      <c r="E61" s="2" t="str">
        <f t="shared" si="0"/>
        <v>FK-022Fe</v>
      </c>
      <c r="F61" s="2">
        <f>_xlfn.XLOOKUP(B61,[1]Elevage!A:A,[1]Elevage!B:B)</f>
        <v>46120</v>
      </c>
      <c r="G61" t="str">
        <f>G60</f>
        <v>Eco-antibio2</v>
      </c>
      <c r="H61">
        <f t="shared" si="1"/>
        <v>0</v>
      </c>
      <c r="I61" s="84">
        <v>0</v>
      </c>
      <c r="J61" s="84" t="s">
        <v>966</v>
      </c>
      <c r="K61" s="84">
        <v>0</v>
      </c>
      <c r="L61" s="84" t="s">
        <v>966</v>
      </c>
      <c r="M61" s="84"/>
      <c r="N61" s="84"/>
      <c r="O61" s="84"/>
      <c r="AJ61">
        <v>0</v>
      </c>
    </row>
    <row r="62" spans="1:36" hidden="1" x14ac:dyDescent="0.2">
      <c r="A62" s="73" t="s">
        <v>942</v>
      </c>
      <c r="B62" s="73" t="s">
        <v>1205</v>
      </c>
      <c r="C62" s="73" t="s">
        <v>29</v>
      </c>
      <c r="D62" s="73" t="s">
        <v>30</v>
      </c>
      <c r="E62" s="74" t="str">
        <f t="shared" ref="E62:E64" si="5">B62&amp;IF(D62="charcutier","M",IF(D62="cochette","F",""))&amp;IF(C62="Pédichiffe","p",IF(C62="Ecouvillon","e",IF(C62="Feces","f","")))</f>
        <v>FK-22bFp</v>
      </c>
      <c r="F62" s="74">
        <f>Elevage!B24</f>
        <v>46121</v>
      </c>
      <c r="G62" s="73" t="str">
        <f t="shared" ref="G62:G64" si="6">G61</f>
        <v>Eco-antibio2</v>
      </c>
      <c r="H62" s="73">
        <f t="shared" si="1"/>
        <v>0</v>
      </c>
      <c r="I62" s="85">
        <v>0</v>
      </c>
      <c r="J62" s="85" t="s">
        <v>966</v>
      </c>
      <c r="K62" s="85">
        <v>0</v>
      </c>
      <c r="L62" s="85" t="s">
        <v>966</v>
      </c>
      <c r="M62" s="84"/>
      <c r="N62" s="84"/>
      <c r="O62" s="84"/>
      <c r="AJ62" s="73">
        <v>0</v>
      </c>
    </row>
    <row r="63" spans="1:36" hidden="1" x14ac:dyDescent="0.2">
      <c r="A63" t="s">
        <v>942</v>
      </c>
      <c r="B63" t="s">
        <v>1205</v>
      </c>
      <c r="C63" t="s">
        <v>29</v>
      </c>
      <c r="D63" t="s">
        <v>32</v>
      </c>
      <c r="E63" s="2" t="str">
        <f t="shared" si="5"/>
        <v>FK-22bMp</v>
      </c>
      <c r="F63" s="2">
        <f>Elevage!B24</f>
        <v>46121</v>
      </c>
      <c r="G63" t="str">
        <f t="shared" si="6"/>
        <v>Eco-antibio2</v>
      </c>
      <c r="H63">
        <f t="shared" si="1"/>
        <v>0</v>
      </c>
      <c r="I63" s="84">
        <v>0</v>
      </c>
      <c r="J63" s="84" t="s">
        <v>966</v>
      </c>
      <c r="K63" s="84">
        <v>0</v>
      </c>
      <c r="L63" s="84" t="s">
        <v>966</v>
      </c>
      <c r="M63" s="84"/>
      <c r="N63" s="84"/>
      <c r="O63" s="84"/>
      <c r="AJ63">
        <v>0</v>
      </c>
    </row>
    <row r="64" spans="1:36" hidden="1" x14ac:dyDescent="0.2">
      <c r="A64" t="s">
        <v>942</v>
      </c>
      <c r="B64" t="s">
        <v>1205</v>
      </c>
      <c r="C64" t="s">
        <v>31</v>
      </c>
      <c r="D64" t="s">
        <v>30</v>
      </c>
      <c r="E64" s="2" t="str">
        <f t="shared" si="5"/>
        <v>FK-22bFe</v>
      </c>
      <c r="F64" s="2">
        <f>Elevage!B24</f>
        <v>46121</v>
      </c>
      <c r="G64" t="str">
        <f t="shared" si="6"/>
        <v>Eco-antibio2</v>
      </c>
      <c r="H64">
        <f t="shared" si="1"/>
        <v>0</v>
      </c>
      <c r="I64" s="84">
        <v>0</v>
      </c>
      <c r="J64" s="84" t="s">
        <v>966</v>
      </c>
      <c r="K64" s="84">
        <v>0</v>
      </c>
      <c r="L64" s="84" t="s">
        <v>966</v>
      </c>
      <c r="M64" s="84"/>
      <c r="N64" s="84"/>
      <c r="O64" s="84"/>
      <c r="AJ64">
        <v>0</v>
      </c>
    </row>
    <row r="65" spans="1:36" s="73" customFormat="1" hidden="1" x14ac:dyDescent="0.2">
      <c r="A65" s="73" t="s">
        <v>942</v>
      </c>
      <c r="B65" s="73" t="str">
        <f>"FK-"&amp;TEXT(4+INT((ROW()-8)/3),"000")</f>
        <v>FK-023</v>
      </c>
      <c r="C65" s="73" t="s">
        <v>29</v>
      </c>
      <c r="D65" s="73" t="s">
        <v>30</v>
      </c>
      <c r="E65" s="74" t="str">
        <f t="shared" si="0"/>
        <v>FK-023Fp</v>
      </c>
      <c r="F65" s="74">
        <f>_xlfn.XLOOKUP(B65,[1]Elevage!A:A,[1]Elevage!B:B)</f>
        <v>46121</v>
      </c>
      <c r="G65" s="73" t="str">
        <f>G61</f>
        <v>Eco-antibio2</v>
      </c>
      <c r="H65" s="73">
        <f t="shared" si="1"/>
        <v>0</v>
      </c>
      <c r="I65" s="85">
        <v>0</v>
      </c>
      <c r="J65" s="85" t="s">
        <v>966</v>
      </c>
      <c r="K65" s="85">
        <v>0</v>
      </c>
      <c r="L65" s="85" t="s">
        <v>966</v>
      </c>
      <c r="M65" s="85"/>
      <c r="N65" s="85"/>
      <c r="O65" s="85"/>
      <c r="V65" s="127"/>
      <c r="W65" s="127"/>
      <c r="X65" s="127"/>
      <c r="Y65" s="127"/>
      <c r="Z65" s="127"/>
      <c r="AA65" s="127"/>
      <c r="AB65" s="127"/>
      <c r="AC65" s="127"/>
      <c r="AJ65" s="73">
        <v>0</v>
      </c>
    </row>
    <row r="66" spans="1:36" hidden="1" x14ac:dyDescent="0.2">
      <c r="A66" t="s">
        <v>942</v>
      </c>
      <c r="B66" t="str">
        <f>"FK-"&amp;TEXT(4+INT((ROW()-8)/3),"000")</f>
        <v>FK-023</v>
      </c>
      <c r="C66" t="s">
        <v>29</v>
      </c>
      <c r="D66" t="s">
        <v>32</v>
      </c>
      <c r="E66" s="2" t="str">
        <f t="shared" si="0"/>
        <v>FK-023Mp</v>
      </c>
      <c r="F66" s="2">
        <f>_xlfn.XLOOKUP(B66,[1]Elevage!A:A,[1]Elevage!B:B)</f>
        <v>46121</v>
      </c>
      <c r="G66" t="str">
        <f t="shared" si="2"/>
        <v>Eco-antibio2</v>
      </c>
      <c r="H66">
        <f t="shared" si="1"/>
        <v>0</v>
      </c>
      <c r="I66" s="84">
        <v>0</v>
      </c>
      <c r="J66" s="84" t="s">
        <v>966</v>
      </c>
      <c r="K66" s="84">
        <v>0</v>
      </c>
      <c r="L66" s="84" t="s">
        <v>966</v>
      </c>
      <c r="M66" s="84"/>
      <c r="N66" s="84"/>
      <c r="O66" s="84"/>
      <c r="AJ66">
        <v>0</v>
      </c>
    </row>
    <row r="67" spans="1:36" hidden="1" x14ac:dyDescent="0.2">
      <c r="A67" t="s">
        <v>942</v>
      </c>
      <c r="B67" t="str">
        <f>"FK-"&amp;TEXT(4+INT((ROW()-8)/3),"000")</f>
        <v>FK-023</v>
      </c>
      <c r="C67" t="s">
        <v>31</v>
      </c>
      <c r="D67" t="s">
        <v>30</v>
      </c>
      <c r="E67" s="2" t="str">
        <f t="shared" si="0"/>
        <v>FK-023Fe</v>
      </c>
      <c r="F67" s="2">
        <f>_xlfn.XLOOKUP(B67,[1]Elevage!A:A,[1]Elevage!B:B)</f>
        <v>46121</v>
      </c>
      <c r="G67" t="str">
        <f t="shared" si="2"/>
        <v>Eco-antibio2</v>
      </c>
      <c r="H67">
        <f t="shared" si="1"/>
        <v>0</v>
      </c>
      <c r="I67" s="84">
        <v>0</v>
      </c>
      <c r="J67" s="84" t="s">
        <v>966</v>
      </c>
      <c r="K67" s="84">
        <v>0</v>
      </c>
      <c r="L67" s="84" t="s">
        <v>966</v>
      </c>
      <c r="AJ67">
        <v>0</v>
      </c>
    </row>
    <row r="68" spans="1:36" s="73" customFormat="1" x14ac:dyDescent="0.2">
      <c r="A68" s="73" t="s">
        <v>942</v>
      </c>
      <c r="B68" s="73" t="str">
        <f t="shared" ref="B68:B73" si="7">"FK-"&amp;TEXT(4+INT((ROW()-8)/3),"000")</f>
        <v>FK-024</v>
      </c>
      <c r="C68" s="73" t="s">
        <v>29</v>
      </c>
      <c r="D68" s="73" t="s">
        <v>30</v>
      </c>
      <c r="E68" s="74" t="str">
        <f t="shared" si="0"/>
        <v>FK-024Fp</v>
      </c>
      <c r="F68" s="74">
        <f>_xlfn.XLOOKUP(B68,[1]Elevage!A:A,[1]Elevage!B:B)</f>
        <v>46121</v>
      </c>
      <c r="G68" s="73" t="str">
        <f t="shared" si="2"/>
        <v>Eco-antibio2</v>
      </c>
      <c r="H68" s="73">
        <f t="shared" si="1"/>
        <v>0</v>
      </c>
      <c r="I68" s="85">
        <v>0</v>
      </c>
      <c r="J68" s="85" t="s">
        <v>966</v>
      </c>
      <c r="K68" s="85">
        <v>0</v>
      </c>
      <c r="L68" s="85" t="s">
        <v>966</v>
      </c>
      <c r="V68" s="127"/>
      <c r="W68" s="127"/>
      <c r="X68" s="127"/>
      <c r="Y68" s="127"/>
      <c r="Z68" s="127"/>
      <c r="AA68" s="127"/>
      <c r="AB68" s="127"/>
      <c r="AC68" s="127"/>
      <c r="AJ68" s="73">
        <v>1</v>
      </c>
    </row>
    <row r="69" spans="1:36" x14ac:dyDescent="0.2">
      <c r="A69" s="106" t="s">
        <v>942</v>
      </c>
      <c r="B69" t="str">
        <f t="shared" si="7"/>
        <v>FK-024</v>
      </c>
      <c r="C69" t="s">
        <v>29</v>
      </c>
      <c r="D69" t="s">
        <v>32</v>
      </c>
      <c r="E69" s="2" t="str">
        <f t="shared" si="0"/>
        <v>FK-024Mp</v>
      </c>
      <c r="F69" s="2">
        <f>_xlfn.XLOOKUP(B69,[1]Elevage!A:A,[1]Elevage!B:B)</f>
        <v>46121</v>
      </c>
      <c r="G69" t="str">
        <f t="shared" si="2"/>
        <v>Eco-antibio2</v>
      </c>
      <c r="H69">
        <f t="shared" si="1"/>
        <v>1</v>
      </c>
      <c r="I69" s="84">
        <v>1</v>
      </c>
      <c r="J69" s="84" t="s">
        <v>1204</v>
      </c>
      <c r="K69" s="84">
        <v>0</v>
      </c>
      <c r="L69" s="84" t="s">
        <v>966</v>
      </c>
      <c r="M69" t="s">
        <v>1271</v>
      </c>
      <c r="N69" s="101">
        <v>0</v>
      </c>
      <c r="O69" s="94">
        <v>25</v>
      </c>
      <c r="P69" s="101">
        <v>0</v>
      </c>
      <c r="Q69" s="102">
        <v>15</v>
      </c>
      <c r="R69" s="101">
        <v>0</v>
      </c>
      <c r="S69" s="94">
        <v>19</v>
      </c>
      <c r="T69" s="94">
        <v>23</v>
      </c>
      <c r="U69" s="94">
        <v>21</v>
      </c>
      <c r="V69" s="99">
        <v>0</v>
      </c>
      <c r="W69" s="103">
        <v>21</v>
      </c>
      <c r="X69" s="100">
        <v>34</v>
      </c>
      <c r="Y69" s="100">
        <v>32</v>
      </c>
      <c r="Z69" s="100">
        <v>28</v>
      </c>
      <c r="AA69" s="100">
        <v>34</v>
      </c>
      <c r="AB69" s="99">
        <v>0</v>
      </c>
      <c r="AC69" s="99">
        <v>0</v>
      </c>
      <c r="AD69" s="94" t="s">
        <v>1193</v>
      </c>
      <c r="AH69" t="s">
        <v>1196</v>
      </c>
      <c r="AI69">
        <v>156</v>
      </c>
      <c r="AJ69">
        <v>1</v>
      </c>
    </row>
    <row r="70" spans="1:36" x14ac:dyDescent="0.2">
      <c r="A70" t="s">
        <v>942</v>
      </c>
      <c r="B70" t="str">
        <f t="shared" si="7"/>
        <v>FK-024</v>
      </c>
      <c r="C70" t="s">
        <v>31</v>
      </c>
      <c r="D70" t="s">
        <v>30</v>
      </c>
      <c r="E70" s="2" t="str">
        <f t="shared" ref="E70:E137" si="8">B70&amp;IF(D70="charcutier","M",IF(D70="cochette","F",""))&amp;IF(C70="Pédichiffe","p",IF(C70="Ecouvillon","e",IF(C70="Feces","f","")))</f>
        <v>FK-024Fe</v>
      </c>
      <c r="F70" s="2">
        <f>_xlfn.XLOOKUP(B70,[1]Elevage!A:A,[1]Elevage!B:B)</f>
        <v>46121</v>
      </c>
      <c r="G70" t="str">
        <f t="shared" si="2"/>
        <v>Eco-antibio2</v>
      </c>
      <c r="H70">
        <f t="shared" si="1"/>
        <v>0</v>
      </c>
      <c r="I70" s="84">
        <v>0</v>
      </c>
      <c r="J70" s="84" t="s">
        <v>966</v>
      </c>
      <c r="K70" s="84">
        <v>0</v>
      </c>
      <c r="L70" s="84" t="s">
        <v>966</v>
      </c>
      <c r="AJ70">
        <v>1</v>
      </c>
    </row>
    <row r="71" spans="1:36" s="73" customFormat="1" hidden="1" x14ac:dyDescent="0.2">
      <c r="A71" s="73" t="s">
        <v>942</v>
      </c>
      <c r="B71" s="73" t="str">
        <f t="shared" si="7"/>
        <v>FK-025</v>
      </c>
      <c r="C71" s="73" t="s">
        <v>29</v>
      </c>
      <c r="D71" s="73" t="s">
        <v>30</v>
      </c>
      <c r="E71" s="74" t="str">
        <f t="shared" si="8"/>
        <v>FK-025Fp</v>
      </c>
      <c r="F71" s="74">
        <f>_xlfn.XLOOKUP(B71,[1]Elevage!A:A,[1]Elevage!B:B)</f>
        <v>46121</v>
      </c>
      <c r="G71" s="73" t="str">
        <f t="shared" ref="G71:G126" si="9">G70</f>
        <v>Eco-antibio2</v>
      </c>
      <c r="H71" s="73">
        <f t="shared" ref="H71:H138" si="10">IF(AND(I71=0,K71=0),0,1)</f>
        <v>0</v>
      </c>
      <c r="I71" s="85">
        <v>0</v>
      </c>
      <c r="J71" s="85" t="s">
        <v>966</v>
      </c>
      <c r="K71" s="85">
        <v>0</v>
      </c>
      <c r="L71" s="85" t="s">
        <v>966</v>
      </c>
      <c r="V71" s="127"/>
      <c r="W71" s="127"/>
      <c r="X71" s="127"/>
      <c r="Y71" s="127"/>
      <c r="Z71" s="127"/>
      <c r="AA71" s="127"/>
      <c r="AB71" s="127"/>
      <c r="AC71" s="127"/>
      <c r="AJ71" s="73">
        <v>0</v>
      </c>
    </row>
    <row r="72" spans="1:36" hidden="1" x14ac:dyDescent="0.2">
      <c r="A72" t="s">
        <v>942</v>
      </c>
      <c r="B72" t="str">
        <f t="shared" si="7"/>
        <v>FK-025</v>
      </c>
      <c r="C72" t="s">
        <v>29</v>
      </c>
      <c r="D72" t="s">
        <v>32</v>
      </c>
      <c r="E72" s="2" t="str">
        <f t="shared" si="8"/>
        <v>FK-025Mp</v>
      </c>
      <c r="F72" s="2">
        <f>_xlfn.XLOOKUP(B72,[1]Elevage!A:A,[1]Elevage!B:B)</f>
        <v>46121</v>
      </c>
      <c r="G72" t="str">
        <f t="shared" si="9"/>
        <v>Eco-antibio2</v>
      </c>
      <c r="H72">
        <f t="shared" si="10"/>
        <v>0</v>
      </c>
      <c r="I72" s="84">
        <v>0</v>
      </c>
      <c r="J72" s="84" t="s">
        <v>966</v>
      </c>
      <c r="K72" s="84">
        <v>0</v>
      </c>
      <c r="L72" s="84" t="s">
        <v>966</v>
      </c>
      <c r="AJ72">
        <v>0</v>
      </c>
    </row>
    <row r="73" spans="1:36" hidden="1" x14ac:dyDescent="0.2">
      <c r="A73" t="s">
        <v>942</v>
      </c>
      <c r="B73" t="str">
        <f t="shared" si="7"/>
        <v>FK-025</v>
      </c>
      <c r="C73" t="s">
        <v>31</v>
      </c>
      <c r="D73" t="s">
        <v>30</v>
      </c>
      <c r="E73" s="2" t="str">
        <f t="shared" si="8"/>
        <v>FK-025Fe</v>
      </c>
      <c r="F73" s="2">
        <f>_xlfn.XLOOKUP(B73,[1]Elevage!A:A,[1]Elevage!B:B)</f>
        <v>46121</v>
      </c>
      <c r="G73" t="str">
        <f t="shared" si="9"/>
        <v>Eco-antibio2</v>
      </c>
      <c r="H73">
        <f t="shared" si="10"/>
        <v>0</v>
      </c>
      <c r="I73" s="84">
        <v>0</v>
      </c>
      <c r="J73" s="84" t="s">
        <v>966</v>
      </c>
      <c r="K73" s="84">
        <v>0</v>
      </c>
      <c r="L73" s="84" t="s">
        <v>966</v>
      </c>
      <c r="AJ73">
        <v>0</v>
      </c>
    </row>
    <row r="74" spans="1:36" s="73" customFormat="1" hidden="1" x14ac:dyDescent="0.2">
      <c r="A74" s="73" t="s">
        <v>942</v>
      </c>
      <c r="B74" s="73" t="str">
        <f t="shared" si="4"/>
        <v>FK-027</v>
      </c>
      <c r="C74" s="73" t="s">
        <v>29</v>
      </c>
      <c r="D74" s="73" t="s">
        <v>30</v>
      </c>
      <c r="E74" s="74" t="str">
        <f t="shared" si="8"/>
        <v>FK-027Fp</v>
      </c>
      <c r="F74" s="74">
        <f>_xlfn.XLOOKUP(B74,[1]Elevage!A:A,[1]Elevage!B:B)</f>
        <v>46122</v>
      </c>
      <c r="G74" s="73" t="str">
        <f t="shared" si="9"/>
        <v>Eco-antibio2</v>
      </c>
      <c r="H74" s="73">
        <f>IF(AND(I74=0,K74=0),0,1)</f>
        <v>0</v>
      </c>
      <c r="I74" s="85">
        <v>0</v>
      </c>
      <c r="J74" s="85" t="s">
        <v>966</v>
      </c>
      <c r="K74" s="85">
        <v>0</v>
      </c>
      <c r="L74" s="85" t="s">
        <v>966</v>
      </c>
      <c r="V74" s="127"/>
      <c r="W74" s="127"/>
      <c r="X74" s="127"/>
      <c r="Y74" s="127"/>
      <c r="Z74" s="127"/>
      <c r="AA74" s="127"/>
      <c r="AB74" s="127"/>
      <c r="AC74" s="127"/>
      <c r="AJ74" s="73">
        <v>0</v>
      </c>
    </row>
    <row r="75" spans="1:36" hidden="1" x14ac:dyDescent="0.2">
      <c r="A75" t="s">
        <v>942</v>
      </c>
      <c r="B75" t="str">
        <f t="shared" si="4"/>
        <v>FK-027</v>
      </c>
      <c r="C75" t="s">
        <v>29</v>
      </c>
      <c r="D75" t="s">
        <v>32</v>
      </c>
      <c r="E75" s="2" t="str">
        <f t="shared" si="8"/>
        <v>FK-027Mp</v>
      </c>
      <c r="F75" s="2">
        <f>_xlfn.XLOOKUP(B75,[1]Elevage!A:A,[1]Elevage!B:B)</f>
        <v>46122</v>
      </c>
      <c r="G75" t="str">
        <f t="shared" si="9"/>
        <v>Eco-antibio2</v>
      </c>
      <c r="H75">
        <f t="shared" si="10"/>
        <v>0</v>
      </c>
      <c r="I75" s="84">
        <v>0</v>
      </c>
      <c r="J75" s="84" t="s">
        <v>966</v>
      </c>
      <c r="K75" s="84">
        <v>0</v>
      </c>
      <c r="L75" s="84" t="s">
        <v>966</v>
      </c>
      <c r="AJ75">
        <v>0</v>
      </c>
    </row>
    <row r="76" spans="1:36" hidden="1" x14ac:dyDescent="0.2">
      <c r="A76" t="s">
        <v>942</v>
      </c>
      <c r="B76" t="str">
        <f t="shared" si="4"/>
        <v>FK-027</v>
      </c>
      <c r="C76" t="s">
        <v>31</v>
      </c>
      <c r="D76" t="s">
        <v>30</v>
      </c>
      <c r="E76" s="2" t="str">
        <f t="shared" si="8"/>
        <v>FK-027Fe</v>
      </c>
      <c r="F76" s="2">
        <f>_xlfn.XLOOKUP(B76,[1]Elevage!A:A,[1]Elevage!B:B)</f>
        <v>46122</v>
      </c>
      <c r="G76" t="str">
        <f t="shared" si="9"/>
        <v>Eco-antibio2</v>
      </c>
      <c r="H76">
        <f t="shared" si="10"/>
        <v>0</v>
      </c>
      <c r="I76" s="84">
        <v>0</v>
      </c>
      <c r="J76" s="84" t="s">
        <v>966</v>
      </c>
      <c r="K76" s="84">
        <v>0</v>
      </c>
      <c r="L76" s="84" t="s">
        <v>966</v>
      </c>
      <c r="AJ76">
        <v>0</v>
      </c>
    </row>
    <row r="77" spans="1:36" s="73" customFormat="1" x14ac:dyDescent="0.2">
      <c r="A77" s="130" t="s">
        <v>942</v>
      </c>
      <c r="B77" s="73" t="str">
        <f t="shared" si="4"/>
        <v>FK-028</v>
      </c>
      <c r="C77" s="73" t="s">
        <v>29</v>
      </c>
      <c r="D77" s="73" t="s">
        <v>30</v>
      </c>
      <c r="E77" s="74" t="str">
        <f t="shared" si="8"/>
        <v>FK-028Fp</v>
      </c>
      <c r="F77" s="74">
        <f>_xlfn.XLOOKUP(B77,[1]Elevage!A:A,[1]Elevage!B:B)</f>
        <v>46122</v>
      </c>
      <c r="G77" s="73" t="str">
        <f t="shared" si="9"/>
        <v>Eco-antibio2</v>
      </c>
      <c r="H77" s="73">
        <f>IF(AND(I77=0,K77=0),0,1)</f>
        <v>1</v>
      </c>
      <c r="I77" s="85">
        <v>1</v>
      </c>
      <c r="J77" s="85" t="s">
        <v>1204</v>
      </c>
      <c r="K77" s="85">
        <v>0</v>
      </c>
      <c r="L77" s="85" t="s">
        <v>966</v>
      </c>
      <c r="M77" t="s">
        <v>1280</v>
      </c>
      <c r="N77" s="113">
        <v>0</v>
      </c>
      <c r="O77" s="113">
        <v>13</v>
      </c>
      <c r="P77" s="113">
        <v>0</v>
      </c>
      <c r="Q77" s="114">
        <v>16</v>
      </c>
      <c r="R77" s="113">
        <v>14</v>
      </c>
      <c r="S77" s="95">
        <v>20</v>
      </c>
      <c r="T77" s="95">
        <v>24</v>
      </c>
      <c r="U77" s="95">
        <v>22</v>
      </c>
      <c r="V77" s="115">
        <v>0</v>
      </c>
      <c r="W77" s="116">
        <v>28</v>
      </c>
      <c r="X77" s="116">
        <v>38</v>
      </c>
      <c r="Y77" s="116">
        <v>36</v>
      </c>
      <c r="Z77" s="116">
        <v>28</v>
      </c>
      <c r="AA77" s="116">
        <v>27</v>
      </c>
      <c r="AB77" s="116">
        <v>27</v>
      </c>
      <c r="AC77" s="115">
        <v>0</v>
      </c>
      <c r="AD77" s="95" t="s">
        <v>1193</v>
      </c>
      <c r="AH77" s="73" t="s">
        <v>1196</v>
      </c>
      <c r="AI77" s="73">
        <v>3268</v>
      </c>
      <c r="AJ77" s="73">
        <v>1</v>
      </c>
    </row>
    <row r="78" spans="1:36" ht="15" customHeight="1" x14ac:dyDescent="0.2">
      <c r="A78" t="s">
        <v>942</v>
      </c>
      <c r="B78" t="str">
        <f t="shared" si="4"/>
        <v>FK-028</v>
      </c>
      <c r="C78" t="s">
        <v>29</v>
      </c>
      <c r="D78" t="s">
        <v>32</v>
      </c>
      <c r="E78" s="2" t="str">
        <f t="shared" si="8"/>
        <v>FK-028Mp</v>
      </c>
      <c r="F78" s="2">
        <f>_xlfn.XLOOKUP(B78,[1]Elevage!A:A,[1]Elevage!B:B)</f>
        <v>46122</v>
      </c>
      <c r="G78" t="str">
        <f t="shared" si="9"/>
        <v>Eco-antibio2</v>
      </c>
      <c r="H78">
        <f t="shared" si="10"/>
        <v>0</v>
      </c>
      <c r="I78" s="84">
        <v>0</v>
      </c>
      <c r="J78" s="84" t="s">
        <v>966</v>
      </c>
      <c r="K78" s="84">
        <v>0</v>
      </c>
      <c r="L78" s="84" t="s">
        <v>966</v>
      </c>
      <c r="AJ78">
        <v>1</v>
      </c>
    </row>
    <row r="79" spans="1:36" x14ac:dyDescent="0.2">
      <c r="A79" t="s">
        <v>942</v>
      </c>
      <c r="B79" t="str">
        <f t="shared" si="4"/>
        <v>FK-028</v>
      </c>
      <c r="C79" t="s">
        <v>31</v>
      </c>
      <c r="D79" t="s">
        <v>30</v>
      </c>
      <c r="E79" s="2" t="str">
        <f t="shared" si="8"/>
        <v>FK-028Fe</v>
      </c>
      <c r="F79" s="2">
        <f>_xlfn.XLOOKUP(B79,[1]Elevage!A:A,[1]Elevage!B:B)</f>
        <v>46122</v>
      </c>
      <c r="G79" t="str">
        <f t="shared" si="9"/>
        <v>Eco-antibio2</v>
      </c>
      <c r="H79">
        <f t="shared" si="10"/>
        <v>0</v>
      </c>
      <c r="I79" s="84">
        <v>0</v>
      </c>
      <c r="J79" s="84" t="s">
        <v>966</v>
      </c>
      <c r="K79" s="84">
        <v>0</v>
      </c>
      <c r="L79" s="84" t="s">
        <v>966</v>
      </c>
      <c r="AJ79">
        <v>1</v>
      </c>
    </row>
    <row r="80" spans="1:36" s="73" customFormat="1" x14ac:dyDescent="0.2">
      <c r="A80" s="117" t="s">
        <v>942</v>
      </c>
      <c r="B80" s="73" t="str">
        <f t="shared" si="4"/>
        <v>FK-029</v>
      </c>
      <c r="C80" s="73" t="s">
        <v>29</v>
      </c>
      <c r="D80" s="73" t="s">
        <v>30</v>
      </c>
      <c r="E80" s="74" t="str">
        <f t="shared" ref="E80" si="11">B80&amp;IF(D80="charcutier","M",IF(D80="cochette","F",""))&amp;IF(C80="Pédichiffe","p",IF(C80="Ecouvillon","e",IF(C80="Feces","f","")))</f>
        <v>FK-029Fp</v>
      </c>
      <c r="F80" s="74">
        <f>_xlfn.XLOOKUP(B80,[1]Elevage!A:A,[1]Elevage!B:B)</f>
        <v>46122</v>
      </c>
      <c r="G80" s="73" t="str">
        <f>G78</f>
        <v>Eco-antibio2</v>
      </c>
      <c r="H80" s="73">
        <f t="shared" ref="H80" si="12">IF(AND(I80=0,K80=0),0,1)</f>
        <v>1</v>
      </c>
      <c r="I80" s="85">
        <v>1</v>
      </c>
      <c r="J80" s="85" t="s">
        <v>1203</v>
      </c>
      <c r="K80" s="85">
        <v>0</v>
      </c>
      <c r="L80" s="85" t="s">
        <v>966</v>
      </c>
      <c r="M80" t="s">
        <v>1290</v>
      </c>
      <c r="N80" s="113">
        <v>0</v>
      </c>
      <c r="O80" s="95">
        <v>25</v>
      </c>
      <c r="P80" s="113">
        <v>0</v>
      </c>
      <c r="Q80" s="114">
        <v>15</v>
      </c>
      <c r="R80" s="113">
        <v>12</v>
      </c>
      <c r="S80" s="95">
        <v>21</v>
      </c>
      <c r="T80" s="95">
        <v>22</v>
      </c>
      <c r="U80" s="95">
        <v>21</v>
      </c>
      <c r="V80" s="115">
        <v>0</v>
      </c>
      <c r="W80" s="116">
        <v>28</v>
      </c>
      <c r="X80" s="116">
        <v>37</v>
      </c>
      <c r="Y80" s="116">
        <v>33</v>
      </c>
      <c r="Z80" s="116">
        <v>24</v>
      </c>
      <c r="AA80" s="116">
        <v>28</v>
      </c>
      <c r="AB80" s="116">
        <v>33</v>
      </c>
      <c r="AC80" s="116">
        <v>29</v>
      </c>
      <c r="AD80" s="95" t="s">
        <v>1193</v>
      </c>
      <c r="AH80" s="73" t="s">
        <v>1196</v>
      </c>
      <c r="AI80" s="73">
        <v>58</v>
      </c>
      <c r="AJ80" s="73">
        <v>1</v>
      </c>
    </row>
    <row r="81" spans="1:36" x14ac:dyDescent="0.2">
      <c r="A81" s="106" t="s">
        <v>942</v>
      </c>
      <c r="B81" t="str">
        <f t="shared" si="4"/>
        <v>FK-029</v>
      </c>
      <c r="C81" t="s">
        <v>29</v>
      </c>
      <c r="D81" t="s">
        <v>30</v>
      </c>
      <c r="E81" s="2" t="str">
        <f t="shared" si="8"/>
        <v>FK-029Fp</v>
      </c>
      <c r="F81" s="2">
        <f>_xlfn.XLOOKUP(B81,[1]Elevage!A:A,[1]Elevage!B:B)</f>
        <v>46122</v>
      </c>
      <c r="G81" t="str">
        <f>G79</f>
        <v>Eco-antibio2</v>
      </c>
      <c r="H81">
        <f t="shared" si="10"/>
        <v>1</v>
      </c>
      <c r="I81" s="84">
        <v>1</v>
      </c>
      <c r="J81" s="84" t="s">
        <v>1204</v>
      </c>
      <c r="K81" s="84">
        <v>1</v>
      </c>
      <c r="L81" s="84" t="s">
        <v>1204</v>
      </c>
      <c r="M81" t="s">
        <v>1281</v>
      </c>
      <c r="N81" s="101">
        <v>0</v>
      </c>
      <c r="O81" s="94">
        <v>23</v>
      </c>
      <c r="P81" s="94">
        <v>24</v>
      </c>
      <c r="Q81" s="102">
        <v>15</v>
      </c>
      <c r="R81" s="94">
        <v>23</v>
      </c>
      <c r="S81" s="101">
        <v>0</v>
      </c>
      <c r="T81" s="94">
        <v>27</v>
      </c>
      <c r="U81" s="94">
        <v>21</v>
      </c>
      <c r="V81" s="99">
        <v>0</v>
      </c>
      <c r="W81" s="100">
        <v>36</v>
      </c>
      <c r="X81" s="99">
        <v>0</v>
      </c>
      <c r="Y81" s="99">
        <v>0</v>
      </c>
      <c r="Z81" s="100">
        <v>30</v>
      </c>
      <c r="AA81" s="100">
        <v>34</v>
      </c>
      <c r="AB81" s="100">
        <v>30</v>
      </c>
      <c r="AC81" s="100">
        <v>23</v>
      </c>
      <c r="AD81" s="94" t="s">
        <v>1193</v>
      </c>
      <c r="AH81" s="139" t="s">
        <v>1331</v>
      </c>
      <c r="AI81">
        <v>2706</v>
      </c>
      <c r="AJ81">
        <v>1</v>
      </c>
    </row>
    <row r="82" spans="1:36" x14ac:dyDescent="0.2">
      <c r="A82" t="s">
        <v>942</v>
      </c>
      <c r="B82" t="str">
        <f t="shared" si="4"/>
        <v>FK-029</v>
      </c>
      <c r="C82" t="s">
        <v>29</v>
      </c>
      <c r="D82" t="s">
        <v>32</v>
      </c>
      <c r="E82" s="2" t="str">
        <f t="shared" si="8"/>
        <v>FK-029Mp</v>
      </c>
      <c r="F82" s="2">
        <f>_xlfn.XLOOKUP(B82,[1]Elevage!A:A,[1]Elevage!B:B)</f>
        <v>46122</v>
      </c>
      <c r="G82" t="str">
        <f t="shared" si="9"/>
        <v>Eco-antibio2</v>
      </c>
      <c r="H82">
        <f t="shared" si="10"/>
        <v>0</v>
      </c>
      <c r="I82" s="84">
        <v>0</v>
      </c>
      <c r="J82" s="84" t="s">
        <v>966</v>
      </c>
      <c r="K82" s="84">
        <v>0</v>
      </c>
      <c r="L82" s="84" t="s">
        <v>966</v>
      </c>
      <c r="AJ82">
        <v>1</v>
      </c>
    </row>
    <row r="83" spans="1:36" x14ac:dyDescent="0.2">
      <c r="A83" t="s">
        <v>942</v>
      </c>
      <c r="B83" t="s">
        <v>985</v>
      </c>
      <c r="C83" t="s">
        <v>31</v>
      </c>
      <c r="D83" t="s">
        <v>30</v>
      </c>
      <c r="E83" s="2" t="str">
        <f t="shared" si="8"/>
        <v>FK-029Fe</v>
      </c>
      <c r="F83" s="2">
        <f>_xlfn.XLOOKUP(B83,[1]Elevage!A:A,[1]Elevage!B:B)</f>
        <v>46122</v>
      </c>
      <c r="G83" t="str">
        <f t="shared" si="9"/>
        <v>Eco-antibio2</v>
      </c>
      <c r="H83">
        <f t="shared" si="10"/>
        <v>0</v>
      </c>
      <c r="I83" s="84">
        <v>0</v>
      </c>
      <c r="J83" s="84" t="s">
        <v>966</v>
      </c>
      <c r="K83" s="84">
        <v>0</v>
      </c>
      <c r="L83" s="84" t="s">
        <v>966</v>
      </c>
      <c r="AJ83">
        <v>1</v>
      </c>
    </row>
    <row r="84" spans="1:36" s="73" customFormat="1" hidden="1" x14ac:dyDescent="0.2">
      <c r="A84" s="73" t="s">
        <v>942</v>
      </c>
      <c r="B84" s="73" t="str">
        <f t="shared" ref="B84:B90" si="13">"FK-"&amp;TEXT(30+INT((ROW()-84)/3),"000")</f>
        <v>FK-030</v>
      </c>
      <c r="C84" s="73" t="s">
        <v>29</v>
      </c>
      <c r="D84" s="73" t="s">
        <v>30</v>
      </c>
      <c r="E84" s="74" t="str">
        <f t="shared" si="8"/>
        <v>FK-030Fp</v>
      </c>
      <c r="F84" s="74">
        <f>_xlfn.XLOOKUP(B84,[1]Elevage!A:A,[1]Elevage!B:B)</f>
        <v>46122</v>
      </c>
      <c r="G84" s="73" t="str">
        <f>G81</f>
        <v>Eco-antibio2</v>
      </c>
      <c r="H84" s="73">
        <f t="shared" si="10"/>
        <v>0</v>
      </c>
      <c r="I84" s="85">
        <v>0</v>
      </c>
      <c r="J84" s="85" t="s">
        <v>966</v>
      </c>
      <c r="K84" s="85">
        <v>0</v>
      </c>
      <c r="L84" s="85" t="s">
        <v>966</v>
      </c>
      <c r="M84"/>
      <c r="AH84" s="129"/>
      <c r="AJ84" s="73">
        <v>0</v>
      </c>
    </row>
    <row r="85" spans="1:36" hidden="1" x14ac:dyDescent="0.2">
      <c r="A85" t="s">
        <v>942</v>
      </c>
      <c r="B85" t="str">
        <f t="shared" si="13"/>
        <v>FK-030</v>
      </c>
      <c r="C85" t="s">
        <v>29</v>
      </c>
      <c r="D85" t="s">
        <v>32</v>
      </c>
      <c r="E85" s="2" t="str">
        <f t="shared" si="8"/>
        <v>FK-030Mp</v>
      </c>
      <c r="F85" s="2">
        <f>_xlfn.XLOOKUP(B85,[1]Elevage!A:A,[1]Elevage!B:B)</f>
        <v>46122</v>
      </c>
      <c r="G85" t="str">
        <f>G83</f>
        <v>Eco-antibio2</v>
      </c>
      <c r="H85">
        <f t="shared" si="10"/>
        <v>0</v>
      </c>
      <c r="I85" s="84">
        <v>0</v>
      </c>
      <c r="J85" s="84" t="s">
        <v>966</v>
      </c>
      <c r="K85" s="84">
        <v>0</v>
      </c>
      <c r="L85" s="84" t="s">
        <v>966</v>
      </c>
      <c r="AJ85">
        <v>0</v>
      </c>
    </row>
    <row r="86" spans="1:36" hidden="1" x14ac:dyDescent="0.2">
      <c r="A86" t="s">
        <v>942</v>
      </c>
      <c r="B86" t="str">
        <f t="shared" si="13"/>
        <v>FK-030</v>
      </c>
      <c r="C86" t="s">
        <v>31</v>
      </c>
      <c r="D86" t="s">
        <v>30</v>
      </c>
      <c r="E86" s="2" t="str">
        <f t="shared" si="8"/>
        <v>FK-030Fe</v>
      </c>
      <c r="F86" s="2">
        <f>_xlfn.XLOOKUP(B86,[1]Elevage!A:A,[1]Elevage!B:B)</f>
        <v>46122</v>
      </c>
      <c r="G86" t="str">
        <f t="shared" si="9"/>
        <v>Eco-antibio2</v>
      </c>
      <c r="H86">
        <f t="shared" si="10"/>
        <v>0</v>
      </c>
      <c r="I86" s="84">
        <v>0</v>
      </c>
      <c r="J86" s="84" t="s">
        <v>966</v>
      </c>
      <c r="K86" s="84">
        <v>0</v>
      </c>
      <c r="L86" s="84" t="s">
        <v>966</v>
      </c>
      <c r="AJ86">
        <v>0</v>
      </c>
    </row>
    <row r="87" spans="1:36" s="73" customFormat="1" hidden="1" x14ac:dyDescent="0.2">
      <c r="A87" s="73" t="s">
        <v>942</v>
      </c>
      <c r="B87" s="73" t="str">
        <f t="shared" si="13"/>
        <v>FK-031</v>
      </c>
      <c r="C87" s="73" t="s">
        <v>29</v>
      </c>
      <c r="D87" s="73" t="s">
        <v>30</v>
      </c>
      <c r="E87" s="74" t="str">
        <f t="shared" si="8"/>
        <v>FK-031Fp</v>
      </c>
      <c r="F87" s="74">
        <f>_xlfn.XLOOKUP(B87,[1]Elevage!A:A,[1]Elevage!B:B)</f>
        <v>46125</v>
      </c>
      <c r="G87" s="73" t="str">
        <f t="shared" si="9"/>
        <v>Eco-antibio2</v>
      </c>
      <c r="H87" s="73">
        <f t="shared" si="10"/>
        <v>0</v>
      </c>
      <c r="I87" s="85">
        <v>0</v>
      </c>
      <c r="J87" s="85" t="s">
        <v>966</v>
      </c>
      <c r="K87" s="85">
        <v>0</v>
      </c>
      <c r="L87" s="85" t="s">
        <v>966</v>
      </c>
      <c r="V87" s="127"/>
      <c r="W87" s="127"/>
      <c r="X87" s="127"/>
      <c r="Y87" s="127"/>
      <c r="Z87" s="127"/>
      <c r="AA87" s="127"/>
      <c r="AB87" s="127"/>
      <c r="AC87" s="127"/>
      <c r="AJ87" s="73">
        <v>0</v>
      </c>
    </row>
    <row r="88" spans="1:36" hidden="1" x14ac:dyDescent="0.2">
      <c r="A88" t="s">
        <v>942</v>
      </c>
      <c r="B88" t="str">
        <f t="shared" si="13"/>
        <v>FK-031</v>
      </c>
      <c r="C88" t="s">
        <v>29</v>
      </c>
      <c r="D88" t="s">
        <v>32</v>
      </c>
      <c r="E88" s="2" t="str">
        <f t="shared" si="8"/>
        <v>FK-031Mp</v>
      </c>
      <c r="F88" s="2">
        <f>_xlfn.XLOOKUP(B88,[1]Elevage!A:A,[1]Elevage!B:B)</f>
        <v>46125</v>
      </c>
      <c r="G88" t="str">
        <f t="shared" si="9"/>
        <v>Eco-antibio2</v>
      </c>
      <c r="H88">
        <f t="shared" si="10"/>
        <v>0</v>
      </c>
      <c r="I88" s="84">
        <v>0</v>
      </c>
      <c r="J88" s="84" t="s">
        <v>966</v>
      </c>
      <c r="K88" s="84">
        <v>0</v>
      </c>
      <c r="L88" s="84" t="s">
        <v>966</v>
      </c>
      <c r="AJ88">
        <v>0</v>
      </c>
    </row>
    <row r="89" spans="1:36" hidden="1" x14ac:dyDescent="0.2">
      <c r="A89" t="s">
        <v>942</v>
      </c>
      <c r="B89" t="str">
        <f t="shared" si="13"/>
        <v>FK-031</v>
      </c>
      <c r="C89" t="s">
        <v>31</v>
      </c>
      <c r="D89" t="s">
        <v>30</v>
      </c>
      <c r="E89" s="2" t="str">
        <f t="shared" si="8"/>
        <v>FK-031Fe</v>
      </c>
      <c r="F89" s="2">
        <f>_xlfn.XLOOKUP(B89,[1]Elevage!A:A,[1]Elevage!B:B)</f>
        <v>46125</v>
      </c>
      <c r="G89" t="str">
        <f t="shared" si="9"/>
        <v>Eco-antibio2</v>
      </c>
      <c r="H89">
        <f t="shared" si="10"/>
        <v>0</v>
      </c>
      <c r="I89" s="84">
        <v>0</v>
      </c>
      <c r="J89" s="84" t="s">
        <v>966</v>
      </c>
      <c r="K89" s="84">
        <v>0</v>
      </c>
      <c r="L89" s="84" t="s">
        <v>966</v>
      </c>
      <c r="AJ89">
        <v>0</v>
      </c>
    </row>
    <row r="90" spans="1:36" s="73" customFormat="1" hidden="1" x14ac:dyDescent="0.2">
      <c r="A90" s="73" t="s">
        <v>942</v>
      </c>
      <c r="B90" s="73" t="str">
        <f t="shared" si="13"/>
        <v>FK-032</v>
      </c>
      <c r="C90" s="73" t="s">
        <v>29</v>
      </c>
      <c r="D90" s="73" t="s">
        <v>30</v>
      </c>
      <c r="E90" s="74" t="str">
        <f t="shared" si="8"/>
        <v>FK-032Fp</v>
      </c>
      <c r="F90" s="74">
        <f>_xlfn.XLOOKUP(B90,[1]Elevage!A:A,[1]Elevage!B:B)</f>
        <v>46125</v>
      </c>
      <c r="G90" s="73" t="str">
        <f t="shared" si="9"/>
        <v>Eco-antibio2</v>
      </c>
      <c r="H90" s="73">
        <f t="shared" si="10"/>
        <v>0</v>
      </c>
      <c r="I90" s="85">
        <v>0</v>
      </c>
      <c r="J90" s="85" t="s">
        <v>966</v>
      </c>
      <c r="K90" s="85">
        <v>0</v>
      </c>
      <c r="L90" s="85" t="s">
        <v>966</v>
      </c>
      <c r="V90" s="127"/>
      <c r="W90" s="127"/>
      <c r="X90" s="127"/>
      <c r="Y90" s="127"/>
      <c r="Z90" s="127"/>
      <c r="AA90" s="127"/>
      <c r="AB90" s="127"/>
      <c r="AC90" s="127"/>
      <c r="AJ90" s="73">
        <v>0</v>
      </c>
    </row>
    <row r="91" spans="1:36" hidden="1" x14ac:dyDescent="0.2">
      <c r="A91" t="s">
        <v>942</v>
      </c>
      <c r="B91" t="str">
        <f t="shared" ref="B91:B129" si="14">"FK-"&amp;TEXT(30+INT((ROW()-84)/3),"000")</f>
        <v>FK-032</v>
      </c>
      <c r="C91" t="s">
        <v>29</v>
      </c>
      <c r="D91" t="s">
        <v>32</v>
      </c>
      <c r="E91" s="2" t="str">
        <f t="shared" si="8"/>
        <v>FK-032Mp</v>
      </c>
      <c r="F91" s="2">
        <f>_xlfn.XLOOKUP(B91,[1]Elevage!A:A,[1]Elevage!B:B)</f>
        <v>46125</v>
      </c>
      <c r="G91" t="str">
        <f t="shared" si="9"/>
        <v>Eco-antibio2</v>
      </c>
      <c r="H91">
        <f t="shared" si="10"/>
        <v>0</v>
      </c>
      <c r="I91" s="84">
        <v>0</v>
      </c>
      <c r="J91" s="84" t="s">
        <v>966</v>
      </c>
      <c r="K91" s="84">
        <v>0</v>
      </c>
      <c r="L91" s="84" t="s">
        <v>966</v>
      </c>
      <c r="AJ91">
        <v>0</v>
      </c>
    </row>
    <row r="92" spans="1:36" hidden="1" x14ac:dyDescent="0.2">
      <c r="A92" t="s">
        <v>942</v>
      </c>
      <c r="B92" t="str">
        <f t="shared" si="14"/>
        <v>FK-032</v>
      </c>
      <c r="C92" t="s">
        <v>31</v>
      </c>
      <c r="D92" t="s">
        <v>30</v>
      </c>
      <c r="E92" s="2" t="str">
        <f t="shared" si="8"/>
        <v>FK-032Fe</v>
      </c>
      <c r="F92" s="2">
        <f>_xlfn.XLOOKUP(B92,[1]Elevage!A:A,[1]Elevage!B:B)</f>
        <v>46125</v>
      </c>
      <c r="G92" t="str">
        <f t="shared" si="9"/>
        <v>Eco-antibio2</v>
      </c>
      <c r="H92">
        <f t="shared" si="10"/>
        <v>0</v>
      </c>
      <c r="I92" s="84">
        <v>0</v>
      </c>
      <c r="J92" s="84" t="s">
        <v>966</v>
      </c>
      <c r="K92" s="84">
        <v>0</v>
      </c>
      <c r="L92" s="84" t="s">
        <v>966</v>
      </c>
      <c r="AJ92">
        <v>0</v>
      </c>
    </row>
    <row r="93" spans="1:36" s="73" customFormat="1" hidden="1" x14ac:dyDescent="0.2">
      <c r="A93" s="73" t="s">
        <v>942</v>
      </c>
      <c r="B93" s="73" t="str">
        <f t="shared" si="14"/>
        <v>FK-033</v>
      </c>
      <c r="C93" s="73" t="s">
        <v>29</v>
      </c>
      <c r="D93" s="73" t="s">
        <v>30</v>
      </c>
      <c r="E93" s="74" t="str">
        <f t="shared" si="8"/>
        <v>FK-033Fp</v>
      </c>
      <c r="F93" s="74">
        <f>_xlfn.XLOOKUP(B93,[1]Elevage!A:A,[1]Elevage!B:B)</f>
        <v>46128</v>
      </c>
      <c r="G93" s="73" t="str">
        <f t="shared" si="9"/>
        <v>Eco-antibio2</v>
      </c>
      <c r="H93" s="73">
        <f t="shared" si="10"/>
        <v>0</v>
      </c>
      <c r="I93" s="85">
        <v>0</v>
      </c>
      <c r="J93" s="85" t="s">
        <v>966</v>
      </c>
      <c r="K93" s="85">
        <v>0</v>
      </c>
      <c r="L93" s="85" t="s">
        <v>966</v>
      </c>
      <c r="V93" s="127"/>
      <c r="W93" s="127"/>
      <c r="X93" s="127"/>
      <c r="Y93" s="127"/>
      <c r="Z93" s="127"/>
      <c r="AA93" s="127"/>
      <c r="AB93" s="127"/>
      <c r="AC93" s="127"/>
      <c r="AJ93" s="73">
        <v>0</v>
      </c>
    </row>
    <row r="94" spans="1:36" hidden="1" x14ac:dyDescent="0.2">
      <c r="A94" t="s">
        <v>942</v>
      </c>
      <c r="B94" t="str">
        <f t="shared" si="14"/>
        <v>FK-033</v>
      </c>
      <c r="C94" t="s">
        <v>29</v>
      </c>
      <c r="D94" t="s">
        <v>32</v>
      </c>
      <c r="E94" s="2" t="str">
        <f t="shared" si="8"/>
        <v>FK-033Mp</v>
      </c>
      <c r="F94" s="2">
        <f>_xlfn.XLOOKUP(B94,[1]Elevage!A:A,[1]Elevage!B:B)</f>
        <v>46128</v>
      </c>
      <c r="G94" t="str">
        <f t="shared" si="9"/>
        <v>Eco-antibio2</v>
      </c>
      <c r="H94">
        <f t="shared" si="10"/>
        <v>0</v>
      </c>
      <c r="I94" s="84">
        <v>0</v>
      </c>
      <c r="J94" s="84" t="s">
        <v>966</v>
      </c>
      <c r="K94" s="84">
        <v>0</v>
      </c>
      <c r="L94" s="84" t="s">
        <v>966</v>
      </c>
      <c r="AJ94">
        <v>0</v>
      </c>
    </row>
    <row r="95" spans="1:36" hidden="1" x14ac:dyDescent="0.2">
      <c r="A95" t="s">
        <v>942</v>
      </c>
      <c r="B95" t="str">
        <f t="shared" si="14"/>
        <v>FK-033</v>
      </c>
      <c r="C95" t="s">
        <v>31</v>
      </c>
      <c r="D95" t="s">
        <v>30</v>
      </c>
      <c r="E95" s="2" t="str">
        <f t="shared" si="8"/>
        <v>FK-033Fe</v>
      </c>
      <c r="F95" s="2">
        <f>_xlfn.XLOOKUP(B95,[1]Elevage!A:A,[1]Elevage!B:B)</f>
        <v>46128</v>
      </c>
      <c r="G95" t="str">
        <f t="shared" si="9"/>
        <v>Eco-antibio2</v>
      </c>
      <c r="H95">
        <f t="shared" si="10"/>
        <v>0</v>
      </c>
      <c r="I95" s="84">
        <v>0</v>
      </c>
      <c r="J95" s="84" t="s">
        <v>966</v>
      </c>
      <c r="K95" s="84">
        <v>0</v>
      </c>
      <c r="L95" s="84" t="s">
        <v>966</v>
      </c>
      <c r="AJ95">
        <v>0</v>
      </c>
    </row>
    <row r="96" spans="1:36" s="73" customFormat="1" x14ac:dyDescent="0.2">
      <c r="A96" s="130" t="s">
        <v>942</v>
      </c>
      <c r="B96" s="73" t="str">
        <f t="shared" si="14"/>
        <v>FK-034</v>
      </c>
      <c r="C96" s="73" t="s">
        <v>29</v>
      </c>
      <c r="D96" s="73" t="s">
        <v>30</v>
      </c>
      <c r="E96" s="74" t="str">
        <f t="shared" si="8"/>
        <v>FK-034Fp</v>
      </c>
      <c r="F96" s="74">
        <f>_xlfn.XLOOKUP(B96,[1]Elevage!A:A,[1]Elevage!B:B)</f>
        <v>46128</v>
      </c>
      <c r="G96" s="73" t="str">
        <f t="shared" si="9"/>
        <v>Eco-antibio2</v>
      </c>
      <c r="H96" s="73">
        <f t="shared" si="10"/>
        <v>1</v>
      </c>
      <c r="I96" s="85">
        <v>1</v>
      </c>
      <c r="J96" s="85" t="s">
        <v>1204</v>
      </c>
      <c r="K96" s="85">
        <v>0</v>
      </c>
      <c r="L96" s="85" t="s">
        <v>966</v>
      </c>
      <c r="M96" t="s">
        <v>1663</v>
      </c>
      <c r="N96" s="113">
        <v>0</v>
      </c>
      <c r="O96" s="95">
        <v>25</v>
      </c>
      <c r="P96" s="113">
        <v>0</v>
      </c>
      <c r="Q96" s="114">
        <v>16</v>
      </c>
      <c r="R96" s="113">
        <v>12</v>
      </c>
      <c r="S96" s="95">
        <v>21</v>
      </c>
      <c r="T96" s="95">
        <v>23</v>
      </c>
      <c r="U96" s="95">
        <v>21</v>
      </c>
      <c r="V96" s="113">
        <v>0</v>
      </c>
      <c r="W96" s="109">
        <v>25</v>
      </c>
      <c r="X96" s="108">
        <v>36</v>
      </c>
      <c r="Y96" s="116">
        <v>33</v>
      </c>
      <c r="Z96" s="118">
        <v>22</v>
      </c>
      <c r="AA96" s="116">
        <v>27</v>
      </c>
      <c r="AB96" s="116">
        <v>26</v>
      </c>
      <c r="AC96" s="115">
        <v>0</v>
      </c>
      <c r="AD96" s="95" t="s">
        <v>1193</v>
      </c>
      <c r="AH96" s="73" t="s">
        <v>1196</v>
      </c>
      <c r="AI96" s="73">
        <v>58</v>
      </c>
      <c r="AJ96" s="73">
        <v>1</v>
      </c>
    </row>
    <row r="97" spans="1:36" x14ac:dyDescent="0.2">
      <c r="A97" s="131" t="s">
        <v>942</v>
      </c>
      <c r="B97" t="str">
        <f t="shared" si="14"/>
        <v>FK-034</v>
      </c>
      <c r="C97" t="s">
        <v>29</v>
      </c>
      <c r="D97" t="s">
        <v>32</v>
      </c>
      <c r="E97" s="2" t="str">
        <f t="shared" si="8"/>
        <v>FK-034Mp</v>
      </c>
      <c r="F97" s="2">
        <f>_xlfn.XLOOKUP(B97,[1]Elevage!A:A,[1]Elevage!B:B)</f>
        <v>46128</v>
      </c>
      <c r="G97" t="str">
        <f t="shared" si="9"/>
        <v>Eco-antibio2</v>
      </c>
      <c r="H97">
        <f t="shared" si="10"/>
        <v>1</v>
      </c>
      <c r="I97" s="84">
        <v>1</v>
      </c>
      <c r="J97" s="84" t="s">
        <v>1204</v>
      </c>
      <c r="K97" s="84">
        <v>0</v>
      </c>
      <c r="L97" s="84" t="s">
        <v>966</v>
      </c>
      <c r="M97" t="s">
        <v>1633</v>
      </c>
      <c r="N97" s="101">
        <v>0</v>
      </c>
      <c r="O97" s="94">
        <v>25</v>
      </c>
      <c r="P97" s="101">
        <v>0</v>
      </c>
      <c r="Q97" s="102">
        <v>16</v>
      </c>
      <c r="R97" s="101">
        <v>12</v>
      </c>
      <c r="S97" s="94">
        <v>21</v>
      </c>
      <c r="T97" s="94">
        <v>22</v>
      </c>
      <c r="U97" s="94">
        <v>21</v>
      </c>
      <c r="V97" s="99">
        <v>0</v>
      </c>
      <c r="W97" s="100">
        <v>29</v>
      </c>
      <c r="X97" s="100">
        <v>36</v>
      </c>
      <c r="Y97" s="100">
        <v>33</v>
      </c>
      <c r="Z97" s="100">
        <v>24</v>
      </c>
      <c r="AA97" s="100">
        <v>27</v>
      </c>
      <c r="AB97" s="100">
        <v>27</v>
      </c>
      <c r="AC97" s="99">
        <v>0</v>
      </c>
      <c r="AD97" s="94" t="s">
        <v>1193</v>
      </c>
      <c r="AH97" t="s">
        <v>1196</v>
      </c>
      <c r="AI97">
        <v>58</v>
      </c>
      <c r="AJ97">
        <v>1</v>
      </c>
    </row>
    <row r="98" spans="1:36" x14ac:dyDescent="0.2">
      <c r="A98" t="s">
        <v>942</v>
      </c>
      <c r="B98" t="str">
        <f t="shared" si="14"/>
        <v>FK-034</v>
      </c>
      <c r="C98" t="s">
        <v>31</v>
      </c>
      <c r="D98" t="s">
        <v>30</v>
      </c>
      <c r="E98" s="2" t="str">
        <f t="shared" si="8"/>
        <v>FK-034Fe</v>
      </c>
      <c r="F98" s="2">
        <f>_xlfn.XLOOKUP(B98,[1]Elevage!A:A,[1]Elevage!B:B)</f>
        <v>46128</v>
      </c>
      <c r="G98" t="str">
        <f t="shared" si="9"/>
        <v>Eco-antibio2</v>
      </c>
      <c r="H98">
        <f t="shared" si="10"/>
        <v>0</v>
      </c>
      <c r="I98" s="84">
        <v>0</v>
      </c>
      <c r="J98" s="84" t="s">
        <v>966</v>
      </c>
      <c r="K98" s="84">
        <v>0</v>
      </c>
      <c r="L98" s="84" t="s">
        <v>966</v>
      </c>
      <c r="AJ98">
        <v>1</v>
      </c>
    </row>
    <row r="99" spans="1:36" s="73" customFormat="1" hidden="1" x14ac:dyDescent="0.2">
      <c r="A99" s="73" t="s">
        <v>942</v>
      </c>
      <c r="B99" s="73" t="str">
        <f t="shared" si="14"/>
        <v>FK-035</v>
      </c>
      <c r="C99" s="73" t="s">
        <v>29</v>
      </c>
      <c r="D99" s="73" t="s">
        <v>30</v>
      </c>
      <c r="E99" s="74" t="str">
        <f t="shared" si="8"/>
        <v>FK-035Fp</v>
      </c>
      <c r="F99" s="74">
        <f>_xlfn.XLOOKUP(B99,[1]Elevage!A:A,[1]Elevage!B:B)</f>
        <v>46128</v>
      </c>
      <c r="G99" s="73" t="str">
        <f t="shared" si="9"/>
        <v>Eco-antibio2</v>
      </c>
      <c r="H99" s="73">
        <f t="shared" si="10"/>
        <v>0</v>
      </c>
      <c r="I99" s="85">
        <v>0</v>
      </c>
      <c r="J99" s="85" t="s">
        <v>966</v>
      </c>
      <c r="K99" s="85">
        <v>0</v>
      </c>
      <c r="L99" s="85" t="s">
        <v>966</v>
      </c>
      <c r="AJ99" s="73">
        <v>0</v>
      </c>
    </row>
    <row r="100" spans="1:36" hidden="1" x14ac:dyDescent="0.2">
      <c r="A100" t="s">
        <v>942</v>
      </c>
      <c r="B100" t="str">
        <f t="shared" si="14"/>
        <v>FK-035</v>
      </c>
      <c r="C100" t="s">
        <v>29</v>
      </c>
      <c r="D100" t="s">
        <v>32</v>
      </c>
      <c r="E100" s="2" t="str">
        <f t="shared" si="8"/>
        <v>FK-035Mp</v>
      </c>
      <c r="F100" s="2">
        <f>_xlfn.XLOOKUP(B100,[1]Elevage!A:A,[1]Elevage!B:B)</f>
        <v>46128</v>
      </c>
      <c r="G100" t="str">
        <f t="shared" si="9"/>
        <v>Eco-antibio2</v>
      </c>
      <c r="H100">
        <f t="shared" si="10"/>
        <v>0</v>
      </c>
      <c r="I100" s="84">
        <v>0</v>
      </c>
      <c r="J100" s="84" t="s">
        <v>966</v>
      </c>
      <c r="K100" s="84">
        <v>0</v>
      </c>
      <c r="L100" s="84" t="s">
        <v>966</v>
      </c>
      <c r="AJ100">
        <v>0</v>
      </c>
    </row>
    <row r="101" spans="1:36" hidden="1" x14ac:dyDescent="0.2">
      <c r="A101" t="s">
        <v>942</v>
      </c>
      <c r="B101" t="str">
        <f t="shared" si="14"/>
        <v>FK-035</v>
      </c>
      <c r="C101" t="s">
        <v>31</v>
      </c>
      <c r="D101" t="s">
        <v>30</v>
      </c>
      <c r="E101" s="2" t="str">
        <f t="shared" si="8"/>
        <v>FK-035Fe</v>
      </c>
      <c r="F101" s="2">
        <f>_xlfn.XLOOKUP(B101,[1]Elevage!A:A,[1]Elevage!B:B)</f>
        <v>46128</v>
      </c>
      <c r="G101" t="str">
        <f t="shared" si="9"/>
        <v>Eco-antibio2</v>
      </c>
      <c r="H101">
        <f t="shared" si="10"/>
        <v>0</v>
      </c>
      <c r="I101" s="84">
        <v>0</v>
      </c>
      <c r="J101" s="84" t="s">
        <v>966</v>
      </c>
      <c r="K101" s="84">
        <v>0</v>
      </c>
      <c r="L101" s="84" t="s">
        <v>966</v>
      </c>
      <c r="AJ101">
        <v>0</v>
      </c>
    </row>
    <row r="102" spans="1:36" s="73" customFormat="1" hidden="1" x14ac:dyDescent="0.2">
      <c r="A102" s="73" t="s">
        <v>942</v>
      </c>
      <c r="B102" s="73" t="str">
        <f t="shared" si="14"/>
        <v>FK-036</v>
      </c>
      <c r="C102" s="73" t="s">
        <v>29</v>
      </c>
      <c r="D102" s="73" t="s">
        <v>30</v>
      </c>
      <c r="E102" s="74" t="str">
        <f t="shared" si="8"/>
        <v>FK-036Fp</v>
      </c>
      <c r="F102" s="74">
        <f>_xlfn.XLOOKUP(B102,[1]Elevage!A:A,[1]Elevage!B:B)</f>
        <v>46128</v>
      </c>
      <c r="G102" s="73" t="str">
        <f t="shared" si="9"/>
        <v>Eco-antibio2</v>
      </c>
      <c r="H102" s="73">
        <f t="shared" si="10"/>
        <v>0</v>
      </c>
      <c r="I102" s="85">
        <v>0</v>
      </c>
      <c r="J102" s="85" t="s">
        <v>966</v>
      </c>
      <c r="K102" s="85">
        <v>0</v>
      </c>
      <c r="L102" s="85" t="s">
        <v>966</v>
      </c>
      <c r="V102" s="127"/>
      <c r="W102" s="127"/>
      <c r="X102" s="127"/>
      <c r="Y102" s="127"/>
      <c r="Z102" s="127"/>
      <c r="AA102" s="127"/>
      <c r="AB102" s="127"/>
      <c r="AC102" s="127"/>
      <c r="AJ102" s="73">
        <v>0</v>
      </c>
    </row>
    <row r="103" spans="1:36" hidden="1" x14ac:dyDescent="0.2">
      <c r="A103" t="s">
        <v>942</v>
      </c>
      <c r="B103" t="str">
        <f t="shared" si="14"/>
        <v>FK-036</v>
      </c>
      <c r="C103" t="s">
        <v>29</v>
      </c>
      <c r="D103" t="s">
        <v>32</v>
      </c>
      <c r="E103" s="2" t="str">
        <f t="shared" si="8"/>
        <v>FK-036Mp</v>
      </c>
      <c r="F103" s="2">
        <f>_xlfn.XLOOKUP(B103,[1]Elevage!A:A,[1]Elevage!B:B)</f>
        <v>46128</v>
      </c>
      <c r="G103" t="str">
        <f t="shared" si="9"/>
        <v>Eco-antibio2</v>
      </c>
      <c r="H103">
        <f t="shared" si="10"/>
        <v>0</v>
      </c>
      <c r="I103" s="84">
        <v>0</v>
      </c>
      <c r="J103" s="84" t="s">
        <v>966</v>
      </c>
      <c r="K103" s="84">
        <v>0</v>
      </c>
      <c r="L103" s="84" t="s">
        <v>966</v>
      </c>
      <c r="AJ103">
        <v>0</v>
      </c>
    </row>
    <row r="104" spans="1:36" hidden="1" x14ac:dyDescent="0.2">
      <c r="A104" t="s">
        <v>942</v>
      </c>
      <c r="B104" t="str">
        <f t="shared" si="14"/>
        <v>FK-036</v>
      </c>
      <c r="C104" t="s">
        <v>31</v>
      </c>
      <c r="D104" t="s">
        <v>30</v>
      </c>
      <c r="E104" s="2" t="str">
        <f t="shared" si="8"/>
        <v>FK-036Fe</v>
      </c>
      <c r="F104" s="2">
        <f>_xlfn.XLOOKUP(B104,[1]Elevage!A:A,[1]Elevage!B:B)</f>
        <v>46128</v>
      </c>
      <c r="G104" t="str">
        <f t="shared" si="9"/>
        <v>Eco-antibio2</v>
      </c>
      <c r="H104">
        <f t="shared" si="10"/>
        <v>0</v>
      </c>
      <c r="I104" s="84">
        <v>0</v>
      </c>
      <c r="J104" s="84" t="s">
        <v>966</v>
      </c>
      <c r="K104" s="84">
        <v>0</v>
      </c>
      <c r="L104" s="84" t="s">
        <v>966</v>
      </c>
      <c r="AJ104">
        <v>0</v>
      </c>
    </row>
    <row r="105" spans="1:36" s="73" customFormat="1" hidden="1" x14ac:dyDescent="0.2">
      <c r="A105" s="73" t="s">
        <v>942</v>
      </c>
      <c r="B105" s="73" t="str">
        <f t="shared" si="14"/>
        <v>FK-037</v>
      </c>
      <c r="C105" s="73" t="s">
        <v>29</v>
      </c>
      <c r="D105" s="73" t="s">
        <v>30</v>
      </c>
      <c r="E105" s="74" t="str">
        <f t="shared" si="8"/>
        <v>FK-037Fp</v>
      </c>
      <c r="F105" s="74">
        <f>_xlfn.XLOOKUP(B105,[1]Elevage!A:A,[1]Elevage!B:B)</f>
        <v>46129</v>
      </c>
      <c r="G105" s="73" t="str">
        <f t="shared" si="9"/>
        <v>Eco-antibio2</v>
      </c>
      <c r="H105" s="73">
        <f t="shared" si="10"/>
        <v>0</v>
      </c>
      <c r="I105" s="85">
        <v>0</v>
      </c>
      <c r="J105" s="85" t="s">
        <v>966</v>
      </c>
      <c r="K105" s="85">
        <v>0</v>
      </c>
      <c r="L105" s="85" t="s">
        <v>966</v>
      </c>
      <c r="V105" s="127"/>
      <c r="W105" s="127"/>
      <c r="X105" s="127"/>
      <c r="Y105" s="127"/>
      <c r="Z105" s="127"/>
      <c r="AA105" s="127"/>
      <c r="AB105" s="127"/>
      <c r="AC105" s="127"/>
      <c r="AJ105" s="73">
        <v>0</v>
      </c>
    </row>
    <row r="106" spans="1:36" hidden="1" x14ac:dyDescent="0.2">
      <c r="A106" t="s">
        <v>942</v>
      </c>
      <c r="B106" t="str">
        <f t="shared" si="14"/>
        <v>FK-037</v>
      </c>
      <c r="C106" t="s">
        <v>29</v>
      </c>
      <c r="D106" t="s">
        <v>32</v>
      </c>
      <c r="E106" s="2" t="str">
        <f t="shared" si="8"/>
        <v>FK-037Mp</v>
      </c>
      <c r="F106" s="2">
        <f>_xlfn.XLOOKUP(B106,[1]Elevage!A:A,[1]Elevage!B:B)</f>
        <v>46129</v>
      </c>
      <c r="G106" t="str">
        <f t="shared" si="9"/>
        <v>Eco-antibio2</v>
      </c>
      <c r="H106">
        <f t="shared" si="10"/>
        <v>0</v>
      </c>
      <c r="I106" s="84">
        <v>0</v>
      </c>
      <c r="J106" s="84" t="s">
        <v>966</v>
      </c>
      <c r="K106" s="84">
        <v>0</v>
      </c>
      <c r="L106" s="84" t="s">
        <v>966</v>
      </c>
      <c r="AJ106">
        <v>0</v>
      </c>
    </row>
    <row r="107" spans="1:36" hidden="1" x14ac:dyDescent="0.2">
      <c r="A107" t="s">
        <v>942</v>
      </c>
      <c r="B107" t="str">
        <f t="shared" si="14"/>
        <v>FK-037</v>
      </c>
      <c r="C107" t="s">
        <v>31</v>
      </c>
      <c r="D107" t="s">
        <v>30</v>
      </c>
      <c r="E107" s="2" t="str">
        <f t="shared" si="8"/>
        <v>FK-037Fe</v>
      </c>
      <c r="F107" s="2">
        <f>_xlfn.XLOOKUP(B107,[1]Elevage!A:A,[1]Elevage!B:B)</f>
        <v>46129</v>
      </c>
      <c r="G107" t="str">
        <f t="shared" si="9"/>
        <v>Eco-antibio2</v>
      </c>
      <c r="H107">
        <f t="shared" si="10"/>
        <v>0</v>
      </c>
      <c r="I107" s="84">
        <v>0</v>
      </c>
      <c r="J107" s="84" t="s">
        <v>966</v>
      </c>
      <c r="K107" s="84">
        <v>0</v>
      </c>
      <c r="L107" s="84" t="s">
        <v>966</v>
      </c>
      <c r="AJ107">
        <v>0</v>
      </c>
    </row>
    <row r="108" spans="1:36" s="73" customFormat="1" hidden="1" x14ac:dyDescent="0.2">
      <c r="A108" s="73" t="s">
        <v>942</v>
      </c>
      <c r="B108" s="73" t="str">
        <f t="shared" si="14"/>
        <v>FK-038</v>
      </c>
      <c r="C108" s="73" t="s">
        <v>29</v>
      </c>
      <c r="D108" s="73" t="s">
        <v>30</v>
      </c>
      <c r="E108" s="74" t="str">
        <f t="shared" si="8"/>
        <v>FK-038Fp</v>
      </c>
      <c r="F108" s="74">
        <f>_xlfn.XLOOKUP(B108,[1]Elevage!A:A,[1]Elevage!B:B)</f>
        <v>46129</v>
      </c>
      <c r="G108" s="73" t="str">
        <f t="shared" si="9"/>
        <v>Eco-antibio2</v>
      </c>
      <c r="H108" s="73">
        <f t="shared" si="10"/>
        <v>0</v>
      </c>
      <c r="I108" s="85">
        <v>0</v>
      </c>
      <c r="J108" s="85" t="s">
        <v>966</v>
      </c>
      <c r="K108" s="85">
        <v>0</v>
      </c>
      <c r="L108" s="85" t="s">
        <v>966</v>
      </c>
      <c r="V108" s="127"/>
      <c r="W108" s="127"/>
      <c r="X108" s="127"/>
      <c r="Y108" s="127"/>
      <c r="Z108" s="127"/>
      <c r="AA108" s="127"/>
      <c r="AB108" s="127"/>
      <c r="AC108" s="127"/>
      <c r="AJ108" s="73">
        <v>0</v>
      </c>
    </row>
    <row r="109" spans="1:36" hidden="1" x14ac:dyDescent="0.2">
      <c r="A109" t="s">
        <v>942</v>
      </c>
      <c r="B109" t="str">
        <f t="shared" si="14"/>
        <v>FK-038</v>
      </c>
      <c r="C109" t="s">
        <v>29</v>
      </c>
      <c r="D109" t="s">
        <v>32</v>
      </c>
      <c r="E109" s="2" t="str">
        <f t="shared" si="8"/>
        <v>FK-038Mp</v>
      </c>
      <c r="F109" s="2">
        <f>_xlfn.XLOOKUP(B109,[1]Elevage!A:A,[1]Elevage!B:B)</f>
        <v>46129</v>
      </c>
      <c r="G109" t="str">
        <f t="shared" si="9"/>
        <v>Eco-antibio2</v>
      </c>
      <c r="H109">
        <f t="shared" si="10"/>
        <v>0</v>
      </c>
      <c r="I109" s="84">
        <v>0</v>
      </c>
      <c r="J109" s="84" t="s">
        <v>966</v>
      </c>
      <c r="K109" s="84">
        <v>0</v>
      </c>
      <c r="L109" s="84" t="s">
        <v>966</v>
      </c>
      <c r="AJ109">
        <v>0</v>
      </c>
    </row>
    <row r="110" spans="1:36" hidden="1" x14ac:dyDescent="0.2">
      <c r="A110" t="s">
        <v>942</v>
      </c>
      <c r="B110" t="str">
        <f t="shared" si="14"/>
        <v>FK-038</v>
      </c>
      <c r="C110" t="s">
        <v>31</v>
      </c>
      <c r="D110" t="s">
        <v>30</v>
      </c>
      <c r="E110" s="2" t="str">
        <f t="shared" si="8"/>
        <v>FK-038Fe</v>
      </c>
      <c r="F110" s="2">
        <f>_xlfn.XLOOKUP(B110,[1]Elevage!A:A,[1]Elevage!B:B)</f>
        <v>46129</v>
      </c>
      <c r="G110" t="str">
        <f t="shared" si="9"/>
        <v>Eco-antibio2</v>
      </c>
      <c r="H110">
        <f t="shared" si="10"/>
        <v>0</v>
      </c>
      <c r="I110" s="84">
        <v>0</v>
      </c>
      <c r="J110" s="84" t="s">
        <v>966</v>
      </c>
      <c r="K110" s="84">
        <v>0</v>
      </c>
      <c r="L110" s="84" t="s">
        <v>966</v>
      </c>
      <c r="AJ110">
        <v>0</v>
      </c>
    </row>
    <row r="111" spans="1:36" s="73" customFormat="1" hidden="1" x14ac:dyDescent="0.2">
      <c r="A111" s="73" t="s">
        <v>942</v>
      </c>
      <c r="B111" s="73" t="str">
        <f t="shared" si="14"/>
        <v>FK-039</v>
      </c>
      <c r="C111" s="73" t="s">
        <v>29</v>
      </c>
      <c r="D111" s="73" t="s">
        <v>30</v>
      </c>
      <c r="E111" s="74" t="str">
        <f t="shared" si="8"/>
        <v>FK-039Fp</v>
      </c>
      <c r="F111" s="74">
        <f>_xlfn.XLOOKUP(B111,[1]Elevage!A:A,[1]Elevage!B:B)</f>
        <v>46139</v>
      </c>
      <c r="G111" s="73" t="str">
        <f t="shared" si="9"/>
        <v>Eco-antibio2</v>
      </c>
      <c r="H111" s="73">
        <f t="shared" si="10"/>
        <v>0</v>
      </c>
      <c r="I111" s="85">
        <v>0</v>
      </c>
      <c r="J111" s="85" t="s">
        <v>966</v>
      </c>
      <c r="K111" s="85">
        <v>0</v>
      </c>
      <c r="L111" s="85" t="s">
        <v>966</v>
      </c>
      <c r="V111" s="127"/>
      <c r="W111" s="127"/>
      <c r="X111" s="127"/>
      <c r="Y111" s="127"/>
      <c r="Z111" s="127"/>
      <c r="AA111" s="127"/>
      <c r="AB111" s="127"/>
      <c r="AC111" s="127"/>
      <c r="AJ111" s="73">
        <v>0</v>
      </c>
    </row>
    <row r="112" spans="1:36" hidden="1" x14ac:dyDescent="0.2">
      <c r="A112" t="s">
        <v>942</v>
      </c>
      <c r="B112" t="str">
        <f t="shared" si="14"/>
        <v>FK-039</v>
      </c>
      <c r="C112" t="s">
        <v>29</v>
      </c>
      <c r="D112" t="s">
        <v>32</v>
      </c>
      <c r="E112" s="2" t="str">
        <f t="shared" si="8"/>
        <v>FK-039Mp</v>
      </c>
      <c r="F112" s="2">
        <f>_xlfn.XLOOKUP(B112,[1]Elevage!A:A,[1]Elevage!B:B)</f>
        <v>46139</v>
      </c>
      <c r="G112" t="str">
        <f t="shared" si="9"/>
        <v>Eco-antibio2</v>
      </c>
      <c r="H112">
        <f t="shared" si="10"/>
        <v>0</v>
      </c>
      <c r="I112" s="84">
        <v>0</v>
      </c>
      <c r="J112" s="84" t="s">
        <v>966</v>
      </c>
      <c r="K112" s="84">
        <v>0</v>
      </c>
      <c r="L112" s="84" t="s">
        <v>966</v>
      </c>
      <c r="AJ112">
        <v>0</v>
      </c>
    </row>
    <row r="113" spans="1:36" hidden="1" x14ac:dyDescent="0.2">
      <c r="A113" t="s">
        <v>942</v>
      </c>
      <c r="B113" t="str">
        <f t="shared" si="14"/>
        <v>FK-039</v>
      </c>
      <c r="C113" t="s">
        <v>31</v>
      </c>
      <c r="D113" t="s">
        <v>30</v>
      </c>
      <c r="E113" s="2" t="str">
        <f t="shared" si="8"/>
        <v>FK-039Fe</v>
      </c>
      <c r="F113" s="2">
        <f>_xlfn.XLOOKUP(B113,[1]Elevage!A:A,[1]Elevage!B:B)</f>
        <v>46139</v>
      </c>
      <c r="G113" t="str">
        <f t="shared" si="9"/>
        <v>Eco-antibio2</v>
      </c>
      <c r="H113">
        <f t="shared" si="10"/>
        <v>0</v>
      </c>
      <c r="I113" s="84">
        <v>0</v>
      </c>
      <c r="J113" s="84" t="s">
        <v>966</v>
      </c>
      <c r="K113" s="84">
        <v>0</v>
      </c>
      <c r="L113" s="84" t="s">
        <v>966</v>
      </c>
      <c r="AJ113">
        <v>0</v>
      </c>
    </row>
    <row r="114" spans="1:36" s="73" customFormat="1" hidden="1" x14ac:dyDescent="0.2">
      <c r="A114" s="73" t="s">
        <v>942</v>
      </c>
      <c r="B114" s="73" t="str">
        <f t="shared" si="14"/>
        <v>FK-040</v>
      </c>
      <c r="C114" s="73" t="s">
        <v>29</v>
      </c>
      <c r="D114" s="73" t="s">
        <v>30</v>
      </c>
      <c r="E114" s="74" t="str">
        <f t="shared" si="8"/>
        <v>FK-040Fp</v>
      </c>
      <c r="F114" s="74">
        <f>_xlfn.XLOOKUP(B114,[1]Elevage!A:A,[1]Elevage!B:B)</f>
        <v>46139</v>
      </c>
      <c r="G114" s="73" t="str">
        <f t="shared" si="9"/>
        <v>Eco-antibio2</v>
      </c>
      <c r="H114" s="73">
        <f t="shared" si="10"/>
        <v>0</v>
      </c>
      <c r="I114" s="85">
        <v>0</v>
      </c>
      <c r="J114" s="85" t="s">
        <v>966</v>
      </c>
      <c r="K114" s="85">
        <v>0</v>
      </c>
      <c r="L114" s="85" t="s">
        <v>966</v>
      </c>
      <c r="V114" s="127"/>
      <c r="W114" s="127"/>
      <c r="X114" s="127"/>
      <c r="Y114" s="127"/>
      <c r="Z114" s="127"/>
      <c r="AA114" s="127"/>
      <c r="AB114" s="127"/>
      <c r="AC114" s="127"/>
      <c r="AJ114" s="73">
        <v>0</v>
      </c>
    </row>
    <row r="115" spans="1:36" hidden="1" x14ac:dyDescent="0.2">
      <c r="A115" t="s">
        <v>942</v>
      </c>
      <c r="B115" t="str">
        <f t="shared" si="14"/>
        <v>FK-040</v>
      </c>
      <c r="C115" t="s">
        <v>29</v>
      </c>
      <c r="D115" t="s">
        <v>32</v>
      </c>
      <c r="E115" s="2" t="str">
        <f t="shared" si="8"/>
        <v>FK-040Mp</v>
      </c>
      <c r="F115" s="2">
        <f>_xlfn.XLOOKUP(B115,[1]Elevage!A:A,[1]Elevage!B:B)</f>
        <v>46139</v>
      </c>
      <c r="G115" t="str">
        <f t="shared" si="9"/>
        <v>Eco-antibio2</v>
      </c>
      <c r="H115">
        <f t="shared" si="10"/>
        <v>0</v>
      </c>
      <c r="I115" s="84">
        <v>0</v>
      </c>
      <c r="J115" s="84" t="s">
        <v>966</v>
      </c>
      <c r="K115" s="84">
        <v>0</v>
      </c>
      <c r="L115" s="84" t="s">
        <v>966</v>
      </c>
      <c r="AJ115">
        <v>0</v>
      </c>
    </row>
    <row r="116" spans="1:36" hidden="1" x14ac:dyDescent="0.2">
      <c r="A116" t="s">
        <v>942</v>
      </c>
      <c r="B116" t="str">
        <f t="shared" si="14"/>
        <v>FK-040</v>
      </c>
      <c r="C116" t="s">
        <v>31</v>
      </c>
      <c r="D116" t="s">
        <v>30</v>
      </c>
      <c r="E116" s="2" t="str">
        <f t="shared" si="8"/>
        <v>FK-040Fe</v>
      </c>
      <c r="F116" s="2">
        <f>_xlfn.XLOOKUP(B116,[1]Elevage!A:A,[1]Elevage!B:B)</f>
        <v>46139</v>
      </c>
      <c r="G116" t="str">
        <f t="shared" si="9"/>
        <v>Eco-antibio2</v>
      </c>
      <c r="H116">
        <f t="shared" si="10"/>
        <v>0</v>
      </c>
      <c r="I116" s="84">
        <v>0</v>
      </c>
      <c r="J116" s="84" t="s">
        <v>966</v>
      </c>
      <c r="K116" s="84">
        <v>0</v>
      </c>
      <c r="L116" s="84" t="s">
        <v>966</v>
      </c>
      <c r="AJ116">
        <v>0</v>
      </c>
    </row>
    <row r="117" spans="1:36" s="73" customFormat="1" hidden="1" x14ac:dyDescent="0.2">
      <c r="A117" s="73" t="s">
        <v>942</v>
      </c>
      <c r="B117" s="73" t="str">
        <f t="shared" si="14"/>
        <v>FK-041</v>
      </c>
      <c r="C117" s="73" t="s">
        <v>29</v>
      </c>
      <c r="D117" s="73" t="s">
        <v>30</v>
      </c>
      <c r="E117" s="74" t="str">
        <f t="shared" si="8"/>
        <v>FK-041Fp</v>
      </c>
      <c r="F117" s="74">
        <f>_xlfn.XLOOKUP(B117,[1]Elevage!A:A,[1]Elevage!B:B)</f>
        <v>46139</v>
      </c>
      <c r="G117" s="73" t="str">
        <f t="shared" si="9"/>
        <v>Eco-antibio2</v>
      </c>
      <c r="H117" s="73">
        <f t="shared" si="10"/>
        <v>0</v>
      </c>
      <c r="I117" s="85">
        <v>0</v>
      </c>
      <c r="J117" s="85" t="s">
        <v>966</v>
      </c>
      <c r="K117" s="85">
        <v>0</v>
      </c>
      <c r="L117" s="85" t="s">
        <v>966</v>
      </c>
      <c r="V117" s="127"/>
      <c r="W117" s="127"/>
      <c r="X117" s="127"/>
      <c r="Y117" s="127"/>
      <c r="Z117" s="127"/>
      <c r="AA117" s="127"/>
      <c r="AB117" s="127"/>
      <c r="AC117" s="127"/>
      <c r="AJ117" s="73">
        <v>0</v>
      </c>
    </row>
    <row r="118" spans="1:36" hidden="1" x14ac:dyDescent="0.2">
      <c r="A118" t="s">
        <v>942</v>
      </c>
      <c r="B118" t="str">
        <f t="shared" si="14"/>
        <v>FK-041</v>
      </c>
      <c r="C118" t="s">
        <v>29</v>
      </c>
      <c r="D118" t="s">
        <v>32</v>
      </c>
      <c r="E118" s="2" t="str">
        <f t="shared" si="8"/>
        <v>FK-041Mp</v>
      </c>
      <c r="F118" s="2">
        <f>_xlfn.XLOOKUP(B118,[1]Elevage!A:A,[1]Elevage!B:B)</f>
        <v>46139</v>
      </c>
      <c r="G118" t="str">
        <f t="shared" si="9"/>
        <v>Eco-antibio2</v>
      </c>
      <c r="H118">
        <f t="shared" si="10"/>
        <v>0</v>
      </c>
      <c r="I118" s="84">
        <v>0</v>
      </c>
      <c r="J118" s="84" t="s">
        <v>966</v>
      </c>
      <c r="K118" s="84">
        <v>0</v>
      </c>
      <c r="L118" s="84" t="s">
        <v>966</v>
      </c>
      <c r="AJ118">
        <v>0</v>
      </c>
    </row>
    <row r="119" spans="1:36" hidden="1" x14ac:dyDescent="0.2">
      <c r="A119" t="s">
        <v>942</v>
      </c>
      <c r="B119" t="str">
        <f t="shared" si="14"/>
        <v>FK-041</v>
      </c>
      <c r="C119" t="s">
        <v>31</v>
      </c>
      <c r="D119" t="s">
        <v>30</v>
      </c>
      <c r="E119" s="2" t="str">
        <f t="shared" si="8"/>
        <v>FK-041Fe</v>
      </c>
      <c r="F119" s="2">
        <f>_xlfn.XLOOKUP(B119,[1]Elevage!A:A,[1]Elevage!B:B)</f>
        <v>46139</v>
      </c>
      <c r="G119" t="str">
        <f t="shared" si="9"/>
        <v>Eco-antibio2</v>
      </c>
      <c r="H119">
        <f t="shared" si="10"/>
        <v>0</v>
      </c>
      <c r="I119" s="84">
        <v>0</v>
      </c>
      <c r="J119" s="84" t="s">
        <v>966</v>
      </c>
      <c r="K119" s="84">
        <v>0</v>
      </c>
      <c r="L119" s="84" t="s">
        <v>966</v>
      </c>
      <c r="AJ119">
        <v>0</v>
      </c>
    </row>
    <row r="120" spans="1:36" s="73" customFormat="1" hidden="1" x14ac:dyDescent="0.2">
      <c r="A120" s="73" t="s">
        <v>942</v>
      </c>
      <c r="B120" s="73" t="str">
        <f t="shared" si="14"/>
        <v>FK-042</v>
      </c>
      <c r="C120" s="73" t="s">
        <v>29</v>
      </c>
      <c r="D120" s="73" t="s">
        <v>30</v>
      </c>
      <c r="E120" s="74" t="str">
        <f t="shared" si="8"/>
        <v>FK-042Fp</v>
      </c>
      <c r="F120" s="74">
        <f>_xlfn.XLOOKUP(B120,[1]Elevage!A:A,[1]Elevage!B:B)</f>
        <v>46139</v>
      </c>
      <c r="G120" s="73" t="str">
        <f t="shared" si="9"/>
        <v>Eco-antibio2</v>
      </c>
      <c r="H120" s="73">
        <f t="shared" si="10"/>
        <v>0</v>
      </c>
      <c r="I120" s="85">
        <v>0</v>
      </c>
      <c r="J120" s="85" t="s">
        <v>966</v>
      </c>
      <c r="K120" s="85">
        <v>0</v>
      </c>
      <c r="L120" s="85" t="s">
        <v>966</v>
      </c>
      <c r="V120" s="127"/>
      <c r="W120" s="127"/>
      <c r="X120" s="127"/>
      <c r="Y120" s="127"/>
      <c r="Z120" s="127"/>
      <c r="AA120" s="127"/>
      <c r="AB120" s="127"/>
      <c r="AC120" s="127"/>
      <c r="AJ120" s="73">
        <v>0</v>
      </c>
    </row>
    <row r="121" spans="1:36" hidden="1" x14ac:dyDescent="0.2">
      <c r="A121" t="s">
        <v>942</v>
      </c>
      <c r="B121" t="str">
        <f t="shared" si="14"/>
        <v>FK-042</v>
      </c>
      <c r="C121" t="s">
        <v>29</v>
      </c>
      <c r="D121" t="s">
        <v>32</v>
      </c>
      <c r="E121" s="2" t="str">
        <f t="shared" si="8"/>
        <v>FK-042Mp</v>
      </c>
      <c r="F121" s="2">
        <f>_xlfn.XLOOKUP(B121,[1]Elevage!A:A,[1]Elevage!B:B)</f>
        <v>46139</v>
      </c>
      <c r="G121" t="str">
        <f t="shared" si="9"/>
        <v>Eco-antibio2</v>
      </c>
      <c r="H121">
        <f t="shared" si="10"/>
        <v>0</v>
      </c>
      <c r="I121" s="84">
        <v>0</v>
      </c>
      <c r="J121" s="84" t="s">
        <v>966</v>
      </c>
      <c r="K121" s="84">
        <v>0</v>
      </c>
      <c r="L121" s="84" t="s">
        <v>966</v>
      </c>
      <c r="AJ121">
        <v>0</v>
      </c>
    </row>
    <row r="122" spans="1:36" hidden="1" x14ac:dyDescent="0.2">
      <c r="A122" t="s">
        <v>942</v>
      </c>
      <c r="B122" t="str">
        <f t="shared" si="14"/>
        <v>FK-042</v>
      </c>
      <c r="C122" t="s">
        <v>31</v>
      </c>
      <c r="D122" t="s">
        <v>30</v>
      </c>
      <c r="E122" s="2" t="str">
        <f t="shared" si="8"/>
        <v>FK-042Fe</v>
      </c>
      <c r="F122" s="2">
        <f>_xlfn.XLOOKUP(B122,[1]Elevage!A:A,[1]Elevage!B:B)</f>
        <v>46139</v>
      </c>
      <c r="G122" t="str">
        <f t="shared" si="9"/>
        <v>Eco-antibio2</v>
      </c>
      <c r="H122">
        <f t="shared" si="10"/>
        <v>0</v>
      </c>
      <c r="I122" s="84">
        <v>0</v>
      </c>
      <c r="J122" s="84" t="s">
        <v>966</v>
      </c>
      <c r="K122" s="84">
        <v>0</v>
      </c>
      <c r="L122" s="84" t="s">
        <v>966</v>
      </c>
      <c r="AJ122">
        <v>0</v>
      </c>
    </row>
    <row r="123" spans="1:36" s="73" customFormat="1" x14ac:dyDescent="0.2">
      <c r="A123" s="117" t="s">
        <v>942</v>
      </c>
      <c r="B123" s="73" t="str">
        <f t="shared" si="14"/>
        <v>FK-043</v>
      </c>
      <c r="C123" s="73" t="s">
        <v>29</v>
      </c>
      <c r="D123" s="73" t="s">
        <v>30</v>
      </c>
      <c r="E123" s="74" t="str">
        <f t="shared" si="8"/>
        <v>FK-043Fp</v>
      </c>
      <c r="F123" s="74">
        <f>_xlfn.XLOOKUP(B123,[1]Elevage!A:A,[1]Elevage!B:B)</f>
        <v>46139</v>
      </c>
      <c r="G123" s="73" t="str">
        <f t="shared" si="9"/>
        <v>Eco-antibio2</v>
      </c>
      <c r="H123" s="73">
        <f t="shared" si="10"/>
        <v>1</v>
      </c>
      <c r="I123" s="85">
        <v>1</v>
      </c>
      <c r="J123" s="85" t="s">
        <v>1204</v>
      </c>
      <c r="K123" s="85">
        <v>0</v>
      </c>
      <c r="L123" s="85" t="s">
        <v>966</v>
      </c>
      <c r="M123" s="132" t="s">
        <v>1295</v>
      </c>
      <c r="N123" s="113">
        <v>0</v>
      </c>
      <c r="O123" s="95">
        <v>20</v>
      </c>
      <c r="P123" s="113">
        <v>0</v>
      </c>
      <c r="Q123" s="113">
        <v>13</v>
      </c>
      <c r="R123" s="113">
        <v>0</v>
      </c>
      <c r="S123" s="95">
        <v>23</v>
      </c>
      <c r="T123" s="113">
        <v>18</v>
      </c>
      <c r="U123" s="95">
        <v>20</v>
      </c>
      <c r="V123" s="115">
        <v>0</v>
      </c>
      <c r="W123" s="118">
        <v>21</v>
      </c>
      <c r="X123" s="116">
        <v>32</v>
      </c>
      <c r="Y123" s="116">
        <v>30</v>
      </c>
      <c r="Z123" s="115">
        <v>21</v>
      </c>
      <c r="AA123" s="118">
        <v>24</v>
      </c>
      <c r="AB123" s="115">
        <v>0</v>
      </c>
      <c r="AC123" s="115">
        <v>0</v>
      </c>
      <c r="AD123" s="95" t="s">
        <v>1193</v>
      </c>
      <c r="AH123" s="73" t="s">
        <v>1296</v>
      </c>
      <c r="AI123" s="73">
        <v>4083</v>
      </c>
      <c r="AJ123" s="73">
        <v>1</v>
      </c>
    </row>
    <row r="124" spans="1:36" x14ac:dyDescent="0.2">
      <c r="A124" s="106" t="s">
        <v>942</v>
      </c>
      <c r="B124" t="str">
        <f t="shared" si="14"/>
        <v>FK-043</v>
      </c>
      <c r="C124" t="s">
        <v>29</v>
      </c>
      <c r="D124" t="s">
        <v>30</v>
      </c>
      <c r="E124" s="2" t="str">
        <f t="shared" ref="E124" si="15">B124&amp;IF(D124="charcutier","M",IF(D124="cochette","F",""))&amp;IF(C124="Pédichiffe","p",IF(C124="Ecouvillon","e",IF(C124="Feces","f","")))</f>
        <v>FK-043Fp</v>
      </c>
      <c r="F124" s="2">
        <f>_xlfn.XLOOKUP(B124,[1]Elevage!A:A,[1]Elevage!B:B)</f>
        <v>46139</v>
      </c>
      <c r="G124" t="str">
        <f>G122</f>
        <v>Eco-antibio2</v>
      </c>
      <c r="H124">
        <f t="shared" ref="H124" si="16">IF(AND(I124=0,K124=0),0,1)</f>
        <v>1</v>
      </c>
      <c r="I124" s="84">
        <v>1</v>
      </c>
      <c r="J124" s="84" t="s">
        <v>1204</v>
      </c>
      <c r="K124" s="84">
        <v>0</v>
      </c>
      <c r="L124" s="84" t="s">
        <v>966</v>
      </c>
      <c r="M124" s="132" t="s">
        <v>1305</v>
      </c>
      <c r="N124" s="101">
        <v>0</v>
      </c>
      <c r="O124" s="94">
        <v>25</v>
      </c>
      <c r="P124" s="101">
        <v>0</v>
      </c>
      <c r="Q124" s="102">
        <v>16</v>
      </c>
      <c r="R124" s="101">
        <v>15</v>
      </c>
      <c r="S124" s="94">
        <v>23</v>
      </c>
      <c r="T124" s="94">
        <v>26</v>
      </c>
      <c r="U124" s="94">
        <v>23</v>
      </c>
      <c r="V124" s="99">
        <v>0</v>
      </c>
      <c r="W124" s="100">
        <v>31</v>
      </c>
      <c r="X124" s="100">
        <v>38</v>
      </c>
      <c r="Y124" s="100">
        <v>36</v>
      </c>
      <c r="Z124" s="99">
        <v>12</v>
      </c>
      <c r="AA124" s="99">
        <v>14</v>
      </c>
      <c r="AB124" s="100">
        <v>34</v>
      </c>
      <c r="AC124" s="99">
        <v>0</v>
      </c>
      <c r="AD124" s="94" t="s">
        <v>1193</v>
      </c>
      <c r="AH124" t="s">
        <v>1196</v>
      </c>
      <c r="AI124">
        <v>1598</v>
      </c>
      <c r="AJ124">
        <v>1</v>
      </c>
    </row>
    <row r="125" spans="1:36" x14ac:dyDescent="0.2">
      <c r="A125" t="s">
        <v>942</v>
      </c>
      <c r="B125" t="str">
        <f t="shared" si="14"/>
        <v>FK-043</v>
      </c>
      <c r="C125" t="s">
        <v>29</v>
      </c>
      <c r="D125" t="s">
        <v>32</v>
      </c>
      <c r="E125" s="2" t="str">
        <f t="shared" si="8"/>
        <v>FK-043Mp</v>
      </c>
      <c r="F125" s="2">
        <f>_xlfn.XLOOKUP(B125,[1]Elevage!A:A,[1]Elevage!B:B)</f>
        <v>46139</v>
      </c>
      <c r="G125" t="str">
        <f>G123</f>
        <v>Eco-antibio2</v>
      </c>
      <c r="H125">
        <f t="shared" si="10"/>
        <v>0</v>
      </c>
      <c r="I125" s="84">
        <v>0</v>
      </c>
      <c r="J125" s="84" t="s">
        <v>966</v>
      </c>
      <c r="K125" s="84">
        <v>0</v>
      </c>
      <c r="L125" s="84" t="s">
        <v>966</v>
      </c>
      <c r="AJ125">
        <v>1</v>
      </c>
    </row>
    <row r="126" spans="1:36" x14ac:dyDescent="0.2">
      <c r="A126" t="s">
        <v>942</v>
      </c>
      <c r="B126" t="str">
        <f t="shared" si="14"/>
        <v>FK-044</v>
      </c>
      <c r="C126" t="s">
        <v>31</v>
      </c>
      <c r="D126" t="s">
        <v>30</v>
      </c>
      <c r="E126" s="2" t="str">
        <f t="shared" si="8"/>
        <v>FK-044Fe</v>
      </c>
      <c r="F126" s="2">
        <f>_xlfn.XLOOKUP(B126,[1]Elevage!A:A,[1]Elevage!B:B)</f>
        <v>46141</v>
      </c>
      <c r="G126" t="str">
        <f t="shared" si="9"/>
        <v>Eco-antibio2</v>
      </c>
      <c r="H126">
        <f t="shared" si="10"/>
        <v>0</v>
      </c>
      <c r="I126" s="84">
        <v>0</v>
      </c>
      <c r="J126" s="84" t="s">
        <v>966</v>
      </c>
      <c r="K126" s="84">
        <v>0</v>
      </c>
      <c r="L126" s="84" t="s">
        <v>966</v>
      </c>
      <c r="AJ126">
        <v>1</v>
      </c>
    </row>
    <row r="127" spans="1:36" s="73" customFormat="1" hidden="1" x14ac:dyDescent="0.2">
      <c r="A127" s="73" t="s">
        <v>942</v>
      </c>
      <c r="B127" s="73" t="str">
        <f t="shared" si="14"/>
        <v>FK-044</v>
      </c>
      <c r="C127" s="73" t="s">
        <v>29</v>
      </c>
      <c r="D127" s="73" t="s">
        <v>30</v>
      </c>
      <c r="E127" s="74" t="str">
        <f t="shared" si="8"/>
        <v>FK-044Fp</v>
      </c>
      <c r="F127" s="74">
        <f>_xlfn.XLOOKUP(B127,[1]Elevage!A:A,[1]Elevage!B:B)</f>
        <v>46141</v>
      </c>
      <c r="G127" s="73" t="str">
        <f>G125</f>
        <v>Eco-antibio2</v>
      </c>
      <c r="H127" s="73">
        <f t="shared" si="10"/>
        <v>0</v>
      </c>
      <c r="I127" s="85">
        <v>0</v>
      </c>
      <c r="J127" s="85" t="s">
        <v>966</v>
      </c>
      <c r="K127" s="85">
        <v>0</v>
      </c>
      <c r="L127" s="85" t="s">
        <v>966</v>
      </c>
      <c r="AJ127" s="73">
        <v>0</v>
      </c>
    </row>
    <row r="128" spans="1:36" hidden="1" x14ac:dyDescent="0.2">
      <c r="A128" t="s">
        <v>942</v>
      </c>
      <c r="B128" t="str">
        <f t="shared" si="14"/>
        <v>FK-044</v>
      </c>
      <c r="C128" t="s">
        <v>29</v>
      </c>
      <c r="D128" t="s">
        <v>30</v>
      </c>
      <c r="E128" s="2" t="str">
        <f t="shared" si="8"/>
        <v>FK-044Fp</v>
      </c>
      <c r="F128" s="2">
        <f>_xlfn.XLOOKUP(B128,[1]Elevage!A:A,[1]Elevage!B:B)</f>
        <v>46141</v>
      </c>
      <c r="G128" t="str">
        <f>G126</f>
        <v>Eco-antibio2</v>
      </c>
      <c r="H128">
        <f t="shared" si="10"/>
        <v>0</v>
      </c>
      <c r="I128" s="84">
        <v>0</v>
      </c>
      <c r="J128" s="84" t="s">
        <v>966</v>
      </c>
      <c r="K128" s="84">
        <v>0</v>
      </c>
      <c r="L128" s="84" t="s">
        <v>966</v>
      </c>
      <c r="AJ128">
        <v>0</v>
      </c>
    </row>
    <row r="129" spans="1:36" hidden="1" x14ac:dyDescent="0.2">
      <c r="A129" t="s">
        <v>942</v>
      </c>
      <c r="B129" t="str">
        <f t="shared" si="14"/>
        <v>FK-045</v>
      </c>
      <c r="C129" t="s">
        <v>29</v>
      </c>
      <c r="D129" t="s">
        <v>32</v>
      </c>
      <c r="E129" s="2" t="str">
        <f t="shared" si="8"/>
        <v>FK-045Mp</v>
      </c>
      <c r="F129" s="2">
        <f>_xlfn.XLOOKUP(B129,[1]Elevage!A:A,[1]Elevage!B:B)</f>
        <v>46141</v>
      </c>
      <c r="G129" t="str">
        <f>G126</f>
        <v>Eco-antibio2</v>
      </c>
      <c r="H129">
        <f t="shared" si="10"/>
        <v>0</v>
      </c>
      <c r="I129" s="84">
        <v>0</v>
      </c>
      <c r="J129" s="84" t="s">
        <v>966</v>
      </c>
      <c r="K129" s="84">
        <v>0</v>
      </c>
      <c r="L129" s="84" t="s">
        <v>966</v>
      </c>
      <c r="AJ129">
        <v>0</v>
      </c>
    </row>
    <row r="130" spans="1:36" s="73" customFormat="1" hidden="1" x14ac:dyDescent="0.2">
      <c r="A130" s="73" t="s">
        <v>942</v>
      </c>
      <c r="B130" s="73" t="str">
        <f>"FK-"&amp;TEXT(45+INT((ROW()-129)/3),"000")</f>
        <v>FK-045</v>
      </c>
      <c r="C130" s="73" t="s">
        <v>29</v>
      </c>
      <c r="D130" s="73" t="s">
        <v>30</v>
      </c>
      <c r="E130" s="74" t="str">
        <f t="shared" si="8"/>
        <v>FK-045Fp</v>
      </c>
      <c r="F130" s="74">
        <f>_xlfn.XLOOKUP(B130,[1]Elevage!A:A,[1]Elevage!B:B)</f>
        <v>46141</v>
      </c>
      <c r="G130" t="str">
        <f t="shared" ref="G130:G196" si="17">G127</f>
        <v>Eco-antibio2</v>
      </c>
      <c r="H130" s="73">
        <f t="shared" si="10"/>
        <v>0</v>
      </c>
      <c r="I130" s="85">
        <v>0</v>
      </c>
      <c r="J130" s="85" t="s">
        <v>966</v>
      </c>
      <c r="K130" s="85">
        <v>0</v>
      </c>
      <c r="L130" s="85" t="s">
        <v>966</v>
      </c>
      <c r="V130" s="127"/>
      <c r="W130" s="127"/>
      <c r="X130" s="127"/>
      <c r="Y130" s="127"/>
      <c r="Z130" s="127"/>
      <c r="AA130" s="127"/>
      <c r="AB130" s="127"/>
      <c r="AC130" s="127"/>
      <c r="AJ130" s="73">
        <v>0</v>
      </c>
    </row>
    <row r="131" spans="1:36" hidden="1" x14ac:dyDescent="0.2">
      <c r="A131" t="s">
        <v>942</v>
      </c>
      <c r="B131" t="str">
        <f t="shared" ref="B131:B138" si="18">"FK-"&amp;TEXT(44+INT((ROW()-127)/3),"000")</f>
        <v>FK-045</v>
      </c>
      <c r="C131" t="s">
        <v>29</v>
      </c>
      <c r="D131" t="s">
        <v>32</v>
      </c>
      <c r="E131" s="2" t="str">
        <f t="shared" si="8"/>
        <v>FK-045Mp</v>
      </c>
      <c r="F131" s="2">
        <f>_xlfn.XLOOKUP(B131,[1]Elevage!A:A,[1]Elevage!B:B)</f>
        <v>46141</v>
      </c>
      <c r="G131" t="str">
        <f t="shared" si="17"/>
        <v>Eco-antibio2</v>
      </c>
      <c r="H131">
        <f t="shared" si="10"/>
        <v>0</v>
      </c>
      <c r="I131" s="84">
        <v>0</v>
      </c>
      <c r="J131" s="84" t="s">
        <v>966</v>
      </c>
      <c r="K131" s="84">
        <v>0</v>
      </c>
      <c r="L131" s="84" t="s">
        <v>966</v>
      </c>
      <c r="AJ131">
        <v>0</v>
      </c>
    </row>
    <row r="132" spans="1:36" hidden="1" x14ac:dyDescent="0.2">
      <c r="A132" t="s">
        <v>942</v>
      </c>
      <c r="B132" t="str">
        <f t="shared" si="18"/>
        <v>FK-045</v>
      </c>
      <c r="C132" t="s">
        <v>31</v>
      </c>
      <c r="D132" t="s">
        <v>30</v>
      </c>
      <c r="E132" s="2" t="str">
        <f t="shared" si="8"/>
        <v>FK-045Fe</v>
      </c>
      <c r="F132" s="2">
        <f>_xlfn.XLOOKUP(B132,[1]Elevage!A:A,[1]Elevage!B:B)</f>
        <v>46141</v>
      </c>
      <c r="G132" t="str">
        <f t="shared" si="17"/>
        <v>Eco-antibio2</v>
      </c>
      <c r="H132">
        <f t="shared" si="10"/>
        <v>0</v>
      </c>
      <c r="I132" s="84">
        <v>0</v>
      </c>
      <c r="J132" s="84" t="s">
        <v>966</v>
      </c>
      <c r="K132" s="84">
        <v>0</v>
      </c>
      <c r="L132" s="84" t="s">
        <v>966</v>
      </c>
      <c r="AJ132">
        <v>0</v>
      </c>
    </row>
    <row r="133" spans="1:36" s="73" customFormat="1" hidden="1" x14ac:dyDescent="0.2">
      <c r="A133" s="73" t="s">
        <v>942</v>
      </c>
      <c r="B133" s="73" t="str">
        <f>"FK-"&amp;TEXT(45+INT((ROW()-129)/3),"000")</f>
        <v>FK-046</v>
      </c>
      <c r="C133" s="73" t="s">
        <v>29</v>
      </c>
      <c r="D133" s="73" t="s">
        <v>30</v>
      </c>
      <c r="E133" s="74" t="str">
        <f t="shared" si="8"/>
        <v>FK-046Fp</v>
      </c>
      <c r="F133" s="74">
        <f>_xlfn.XLOOKUP(B133,[1]Elevage!A:A,[1]Elevage!B:B)</f>
        <v>46141</v>
      </c>
      <c r="G133" t="str">
        <f t="shared" si="17"/>
        <v>Eco-antibio2</v>
      </c>
      <c r="H133" s="73">
        <f t="shared" si="10"/>
        <v>0</v>
      </c>
      <c r="I133" s="85">
        <v>0</v>
      </c>
      <c r="J133" s="85" t="s">
        <v>966</v>
      </c>
      <c r="K133" s="85">
        <v>0</v>
      </c>
      <c r="L133" s="85" t="s">
        <v>966</v>
      </c>
      <c r="V133" s="127"/>
      <c r="W133" s="127"/>
      <c r="X133" s="127"/>
      <c r="Y133" s="127"/>
      <c r="Z133" s="127"/>
      <c r="AA133" s="127"/>
      <c r="AB133" s="127"/>
      <c r="AC133" s="127"/>
      <c r="AJ133" s="73">
        <v>1</v>
      </c>
    </row>
    <row r="134" spans="1:36" hidden="1" x14ac:dyDescent="0.2">
      <c r="A134" s="102" t="s">
        <v>942</v>
      </c>
      <c r="B134" t="str">
        <f t="shared" si="18"/>
        <v>FK-046</v>
      </c>
      <c r="C134" t="s">
        <v>29</v>
      </c>
      <c r="D134" t="s">
        <v>32</v>
      </c>
      <c r="E134" s="2" t="str">
        <f t="shared" si="8"/>
        <v>FK-046Mp</v>
      </c>
      <c r="F134" s="2">
        <f>_xlfn.XLOOKUP(B134,[1]Elevage!A:A,[1]Elevage!B:B)</f>
        <v>46141</v>
      </c>
      <c r="G134" t="str">
        <f t="shared" si="17"/>
        <v>Eco-antibio2</v>
      </c>
      <c r="H134">
        <f t="shared" si="10"/>
        <v>0</v>
      </c>
      <c r="I134" s="84">
        <v>0</v>
      </c>
      <c r="J134" s="84" t="s">
        <v>966</v>
      </c>
      <c r="K134" s="84">
        <v>0</v>
      </c>
      <c r="L134" s="84" t="s">
        <v>966</v>
      </c>
      <c r="AJ134">
        <v>1</v>
      </c>
    </row>
    <row r="135" spans="1:36" hidden="1" x14ac:dyDescent="0.2">
      <c r="A135" t="s">
        <v>942</v>
      </c>
      <c r="B135" t="str">
        <f t="shared" si="18"/>
        <v>FK-046</v>
      </c>
      <c r="C135" t="s">
        <v>31</v>
      </c>
      <c r="D135" t="s">
        <v>30</v>
      </c>
      <c r="E135" s="2" t="str">
        <f t="shared" si="8"/>
        <v>FK-046Fe</v>
      </c>
      <c r="F135" s="2">
        <f>_xlfn.XLOOKUP(B135,[1]Elevage!A:A,[1]Elevage!B:B)</f>
        <v>46141</v>
      </c>
      <c r="G135" t="str">
        <f t="shared" si="17"/>
        <v>Eco-antibio2</v>
      </c>
      <c r="H135">
        <f t="shared" si="10"/>
        <v>0</v>
      </c>
      <c r="I135" s="84">
        <v>0</v>
      </c>
      <c r="J135" s="84" t="s">
        <v>966</v>
      </c>
      <c r="K135" s="84">
        <v>0</v>
      </c>
      <c r="L135" s="84" t="s">
        <v>966</v>
      </c>
      <c r="AJ135">
        <v>1</v>
      </c>
    </row>
    <row r="136" spans="1:36" s="73" customFormat="1" hidden="1" x14ac:dyDescent="0.2">
      <c r="A136" s="73" t="s">
        <v>942</v>
      </c>
      <c r="B136" s="73" t="str">
        <f>"FK-"&amp;TEXT(45+INT((ROW()-129)/3),"000")</f>
        <v>FK-047</v>
      </c>
      <c r="C136" s="73" t="s">
        <v>29</v>
      </c>
      <c r="D136" s="73" t="s">
        <v>30</v>
      </c>
      <c r="E136" s="74" t="str">
        <f t="shared" si="8"/>
        <v>FK-047Fp</v>
      </c>
      <c r="F136" s="74">
        <f>_xlfn.XLOOKUP(B136,[1]Elevage!A:A,[1]Elevage!B:B)</f>
        <v>46141</v>
      </c>
      <c r="G136" t="str">
        <f t="shared" si="17"/>
        <v>Eco-antibio2</v>
      </c>
      <c r="H136" s="73">
        <f t="shared" si="10"/>
        <v>0</v>
      </c>
      <c r="I136" s="85">
        <v>0</v>
      </c>
      <c r="J136" s="85" t="s">
        <v>966</v>
      </c>
      <c r="K136" s="85">
        <v>0</v>
      </c>
      <c r="L136" s="85" t="s">
        <v>966</v>
      </c>
      <c r="V136" s="127"/>
      <c r="W136" s="127"/>
      <c r="X136" s="127"/>
      <c r="Y136" s="127"/>
      <c r="Z136" s="127"/>
      <c r="AA136" s="127"/>
      <c r="AB136" s="127"/>
      <c r="AC136" s="127"/>
      <c r="AJ136" s="73">
        <v>0</v>
      </c>
    </row>
    <row r="137" spans="1:36" hidden="1" x14ac:dyDescent="0.2">
      <c r="A137" t="s">
        <v>942</v>
      </c>
      <c r="B137" t="str">
        <f t="shared" si="18"/>
        <v>FK-047</v>
      </c>
      <c r="C137" t="s">
        <v>29</v>
      </c>
      <c r="D137" t="s">
        <v>32</v>
      </c>
      <c r="E137" s="2" t="str">
        <f t="shared" si="8"/>
        <v>FK-047Mp</v>
      </c>
      <c r="F137" s="2">
        <f>_xlfn.XLOOKUP(B137,[1]Elevage!A:A,[1]Elevage!B:B)</f>
        <v>46141</v>
      </c>
      <c r="G137" t="str">
        <f t="shared" si="17"/>
        <v>Eco-antibio2</v>
      </c>
      <c r="H137">
        <f t="shared" si="10"/>
        <v>0</v>
      </c>
      <c r="I137" s="84">
        <v>0</v>
      </c>
      <c r="J137" s="84" t="s">
        <v>966</v>
      </c>
      <c r="K137" s="84">
        <v>0</v>
      </c>
      <c r="L137" s="84" t="s">
        <v>966</v>
      </c>
      <c r="AJ137">
        <v>0</v>
      </c>
    </row>
    <row r="138" spans="1:36" hidden="1" x14ac:dyDescent="0.2">
      <c r="A138" t="s">
        <v>942</v>
      </c>
      <c r="B138" t="str">
        <f t="shared" si="18"/>
        <v>FK-047</v>
      </c>
      <c r="C138" t="s">
        <v>31</v>
      </c>
      <c r="D138" t="s">
        <v>30</v>
      </c>
      <c r="E138" s="2" t="str">
        <f t="shared" ref="E138:E204" si="19">B138&amp;IF(D138="charcutier","M",IF(D138="cochette","F",""))&amp;IF(C138="Pédichiffe","p",IF(C138="Ecouvillon","e",IF(C138="Feces","f","")))</f>
        <v>FK-047Fe</v>
      </c>
      <c r="F138" s="2">
        <f>_xlfn.XLOOKUP(B138,[1]Elevage!A:A,[1]Elevage!B:B)</f>
        <v>46141</v>
      </c>
      <c r="G138" t="str">
        <f t="shared" si="17"/>
        <v>Eco-antibio2</v>
      </c>
      <c r="H138">
        <f t="shared" si="10"/>
        <v>0</v>
      </c>
      <c r="I138" s="84">
        <v>0</v>
      </c>
      <c r="J138" s="84" t="s">
        <v>966</v>
      </c>
      <c r="K138" s="84">
        <v>0</v>
      </c>
      <c r="L138" s="84" t="s">
        <v>966</v>
      </c>
      <c r="AJ138">
        <v>0</v>
      </c>
    </row>
    <row r="139" spans="1:36" s="73" customFormat="1" hidden="1" x14ac:dyDescent="0.2">
      <c r="A139" s="73" t="s">
        <v>942</v>
      </c>
      <c r="B139" s="73" t="str">
        <f t="shared" ref="B139:B177" si="20">"FK-"&amp;TEXT(44+INT((ROW()-127)/3),"000")</f>
        <v>FK-048</v>
      </c>
      <c r="C139" s="73" t="s">
        <v>29</v>
      </c>
      <c r="D139" s="73" t="s">
        <v>30</v>
      </c>
      <c r="E139" s="74" t="str">
        <f t="shared" si="19"/>
        <v>FK-048Fp</v>
      </c>
      <c r="F139" s="74">
        <f>_xlfn.XLOOKUP(B139,[1]Elevage!A:A,[1]Elevage!B:B)</f>
        <v>46141</v>
      </c>
      <c r="G139" t="str">
        <f t="shared" si="17"/>
        <v>Eco-antibio2</v>
      </c>
      <c r="H139" s="73">
        <f t="shared" ref="H139:H205" si="21">IF(AND(I139=0,K139=0),0,1)</f>
        <v>0</v>
      </c>
      <c r="I139" s="85">
        <v>0</v>
      </c>
      <c r="J139" s="85" t="s">
        <v>966</v>
      </c>
      <c r="K139" s="85">
        <v>0</v>
      </c>
      <c r="L139" s="85" t="s">
        <v>966</v>
      </c>
      <c r="V139" s="127"/>
      <c r="W139" s="127"/>
      <c r="X139" s="127"/>
      <c r="Y139" s="127"/>
      <c r="Z139" s="127"/>
      <c r="AA139" s="127"/>
      <c r="AB139" s="127"/>
      <c r="AC139" s="127"/>
      <c r="AJ139" s="73">
        <v>0</v>
      </c>
    </row>
    <row r="140" spans="1:36" hidden="1" x14ac:dyDescent="0.2">
      <c r="A140" t="s">
        <v>942</v>
      </c>
      <c r="B140" t="str">
        <f t="shared" si="20"/>
        <v>FK-048</v>
      </c>
      <c r="C140" t="s">
        <v>29</v>
      </c>
      <c r="D140" t="s">
        <v>32</v>
      </c>
      <c r="E140" s="2" t="str">
        <f t="shared" si="19"/>
        <v>FK-048Mp</v>
      </c>
      <c r="F140" s="2">
        <f>_xlfn.XLOOKUP(B140,[1]Elevage!A:A,[1]Elevage!B:B)</f>
        <v>46141</v>
      </c>
      <c r="G140" t="str">
        <f t="shared" si="17"/>
        <v>Eco-antibio2</v>
      </c>
      <c r="H140">
        <f t="shared" si="21"/>
        <v>0</v>
      </c>
      <c r="I140" s="84">
        <v>0</v>
      </c>
      <c r="J140" s="84" t="s">
        <v>966</v>
      </c>
      <c r="K140" s="84">
        <v>0</v>
      </c>
      <c r="L140" s="84" t="s">
        <v>966</v>
      </c>
      <c r="AJ140">
        <v>0</v>
      </c>
    </row>
    <row r="141" spans="1:36" hidden="1" x14ac:dyDescent="0.2">
      <c r="A141" t="s">
        <v>942</v>
      </c>
      <c r="B141" t="str">
        <f t="shared" si="20"/>
        <v>FK-048</v>
      </c>
      <c r="C141" t="s">
        <v>31</v>
      </c>
      <c r="D141" t="s">
        <v>30</v>
      </c>
      <c r="E141" s="2" t="str">
        <f t="shared" si="19"/>
        <v>FK-048Fe</v>
      </c>
      <c r="F141" s="2">
        <f>_xlfn.XLOOKUP(B141,[1]Elevage!A:A,[1]Elevage!B:B)</f>
        <v>46141</v>
      </c>
      <c r="G141" t="str">
        <f t="shared" si="17"/>
        <v>Eco-antibio2</v>
      </c>
      <c r="H141">
        <f t="shared" si="21"/>
        <v>0</v>
      </c>
      <c r="I141" s="84">
        <v>0</v>
      </c>
      <c r="J141" s="84" t="s">
        <v>966</v>
      </c>
      <c r="K141" s="84">
        <v>0</v>
      </c>
      <c r="L141" s="84" t="s">
        <v>966</v>
      </c>
      <c r="AJ141">
        <v>0</v>
      </c>
    </row>
    <row r="142" spans="1:36" s="73" customFormat="1" hidden="1" x14ac:dyDescent="0.2">
      <c r="A142" s="73" t="s">
        <v>942</v>
      </c>
      <c r="B142" s="73" t="str">
        <f t="shared" si="20"/>
        <v>FK-049</v>
      </c>
      <c r="C142" s="73" t="s">
        <v>29</v>
      </c>
      <c r="D142" s="73" t="s">
        <v>30</v>
      </c>
      <c r="E142" s="74" t="str">
        <f t="shared" si="19"/>
        <v>FK-049Fp</v>
      </c>
      <c r="F142" s="74">
        <f>_xlfn.XLOOKUP(B142,[1]Elevage!A:A,[1]Elevage!B:B)</f>
        <v>46148</v>
      </c>
      <c r="G142" t="str">
        <f t="shared" si="17"/>
        <v>Eco-antibio2</v>
      </c>
      <c r="H142" s="73">
        <f t="shared" si="21"/>
        <v>0</v>
      </c>
      <c r="I142" s="85">
        <v>0</v>
      </c>
      <c r="J142" s="85" t="s">
        <v>966</v>
      </c>
      <c r="K142" s="85">
        <v>0</v>
      </c>
      <c r="L142" s="85" t="s">
        <v>966</v>
      </c>
      <c r="V142" s="127"/>
      <c r="W142" s="127"/>
      <c r="X142" s="127"/>
      <c r="Y142" s="127"/>
      <c r="Z142" s="127"/>
      <c r="AA142" s="127"/>
      <c r="AB142" s="127"/>
      <c r="AC142" s="127"/>
      <c r="AJ142" s="73">
        <v>0</v>
      </c>
    </row>
    <row r="143" spans="1:36" hidden="1" x14ac:dyDescent="0.2">
      <c r="A143" t="s">
        <v>942</v>
      </c>
      <c r="B143" t="str">
        <f t="shared" si="20"/>
        <v>FK-049</v>
      </c>
      <c r="C143" t="s">
        <v>29</v>
      </c>
      <c r="D143" t="s">
        <v>32</v>
      </c>
      <c r="E143" s="2" t="str">
        <f t="shared" si="19"/>
        <v>FK-049Mp</v>
      </c>
      <c r="F143" s="2">
        <f>_xlfn.XLOOKUP(B143,[1]Elevage!A:A,[1]Elevage!B:B)</f>
        <v>46148</v>
      </c>
      <c r="G143" t="str">
        <f t="shared" si="17"/>
        <v>Eco-antibio2</v>
      </c>
      <c r="H143">
        <f t="shared" si="21"/>
        <v>0</v>
      </c>
      <c r="I143" s="84">
        <v>0</v>
      </c>
      <c r="J143" s="84" t="s">
        <v>966</v>
      </c>
      <c r="K143" s="84">
        <v>0</v>
      </c>
      <c r="L143" s="84" t="s">
        <v>966</v>
      </c>
      <c r="AJ143">
        <v>0</v>
      </c>
    </row>
    <row r="144" spans="1:36" hidden="1" x14ac:dyDescent="0.2">
      <c r="A144" t="s">
        <v>942</v>
      </c>
      <c r="B144" t="str">
        <f t="shared" si="20"/>
        <v>FK-049</v>
      </c>
      <c r="C144" t="s">
        <v>31</v>
      </c>
      <c r="D144" t="s">
        <v>30</v>
      </c>
      <c r="E144" s="2" t="str">
        <f t="shared" si="19"/>
        <v>FK-049Fe</v>
      </c>
      <c r="F144" s="2">
        <f>_xlfn.XLOOKUP(B144,[1]Elevage!A:A,[1]Elevage!B:B)</f>
        <v>46148</v>
      </c>
      <c r="G144" t="str">
        <f t="shared" si="17"/>
        <v>Eco-antibio2</v>
      </c>
      <c r="H144">
        <f t="shared" si="21"/>
        <v>0</v>
      </c>
      <c r="I144" s="84">
        <v>0</v>
      </c>
      <c r="J144" s="84" t="s">
        <v>966</v>
      </c>
      <c r="K144" s="84">
        <v>0</v>
      </c>
      <c r="L144" s="84" t="s">
        <v>966</v>
      </c>
      <c r="AJ144">
        <v>0</v>
      </c>
    </row>
    <row r="145" spans="1:36" s="73" customFormat="1" hidden="1" x14ac:dyDescent="0.2">
      <c r="A145" s="73" t="s">
        <v>942</v>
      </c>
      <c r="B145" s="73" t="str">
        <f t="shared" si="20"/>
        <v>FK-050</v>
      </c>
      <c r="C145" s="73" t="s">
        <v>29</v>
      </c>
      <c r="D145" s="73" t="s">
        <v>30</v>
      </c>
      <c r="E145" s="74" t="str">
        <f t="shared" si="19"/>
        <v>FK-050Fp</v>
      </c>
      <c r="F145" s="74">
        <f>_xlfn.XLOOKUP(B145,[1]Elevage!A:A,[1]Elevage!B:B)</f>
        <v>46147</v>
      </c>
      <c r="G145" t="str">
        <f t="shared" si="17"/>
        <v>Eco-antibio2</v>
      </c>
      <c r="H145" s="73">
        <f t="shared" si="21"/>
        <v>0</v>
      </c>
      <c r="I145" s="85">
        <v>0</v>
      </c>
      <c r="J145" s="85" t="s">
        <v>966</v>
      </c>
      <c r="K145" s="85">
        <v>0</v>
      </c>
      <c r="L145" s="85" t="s">
        <v>966</v>
      </c>
      <c r="V145" s="127"/>
      <c r="W145" s="127"/>
      <c r="X145" s="127"/>
      <c r="Y145" s="127"/>
      <c r="Z145" s="127"/>
      <c r="AA145" s="127"/>
      <c r="AB145" s="127"/>
      <c r="AC145" s="127"/>
      <c r="AJ145" s="73">
        <v>0</v>
      </c>
    </row>
    <row r="146" spans="1:36" hidden="1" x14ac:dyDescent="0.2">
      <c r="A146" t="s">
        <v>942</v>
      </c>
      <c r="B146" t="str">
        <f t="shared" si="20"/>
        <v>FK-050</v>
      </c>
      <c r="C146" t="s">
        <v>29</v>
      </c>
      <c r="D146" t="s">
        <v>32</v>
      </c>
      <c r="E146" s="2" t="str">
        <f t="shared" si="19"/>
        <v>FK-050Mp</v>
      </c>
      <c r="F146" s="2">
        <f>_xlfn.XLOOKUP(B146,[1]Elevage!A:A,[1]Elevage!B:B)</f>
        <v>46147</v>
      </c>
      <c r="G146" t="str">
        <f t="shared" si="17"/>
        <v>Eco-antibio2</v>
      </c>
      <c r="H146">
        <f t="shared" si="21"/>
        <v>0</v>
      </c>
      <c r="I146" s="84">
        <v>0</v>
      </c>
      <c r="J146" s="84" t="s">
        <v>966</v>
      </c>
      <c r="K146" s="84">
        <v>0</v>
      </c>
      <c r="L146" s="84" t="s">
        <v>966</v>
      </c>
      <c r="AJ146">
        <v>0</v>
      </c>
    </row>
    <row r="147" spans="1:36" hidden="1" x14ac:dyDescent="0.2">
      <c r="A147" t="s">
        <v>942</v>
      </c>
      <c r="B147" t="str">
        <f t="shared" si="20"/>
        <v>FK-050</v>
      </c>
      <c r="C147" t="s">
        <v>31</v>
      </c>
      <c r="D147" t="s">
        <v>30</v>
      </c>
      <c r="E147" s="2" t="str">
        <f t="shared" si="19"/>
        <v>FK-050Fe</v>
      </c>
      <c r="F147" s="2">
        <f>_xlfn.XLOOKUP(B147,[1]Elevage!A:A,[1]Elevage!B:B)</f>
        <v>46147</v>
      </c>
      <c r="G147" t="str">
        <f t="shared" si="17"/>
        <v>Eco-antibio2</v>
      </c>
      <c r="H147">
        <f t="shared" si="21"/>
        <v>0</v>
      </c>
      <c r="I147" s="84">
        <v>0</v>
      </c>
      <c r="J147" s="84" t="s">
        <v>966</v>
      </c>
      <c r="K147" s="84">
        <v>0</v>
      </c>
      <c r="L147" s="84" t="s">
        <v>966</v>
      </c>
      <c r="AJ147">
        <v>0</v>
      </c>
    </row>
    <row r="148" spans="1:36" s="73" customFormat="1" hidden="1" x14ac:dyDescent="0.2">
      <c r="A148" s="73" t="s">
        <v>942</v>
      </c>
      <c r="B148" s="73" t="str">
        <f t="shared" si="20"/>
        <v>FK-051</v>
      </c>
      <c r="C148" s="73" t="s">
        <v>29</v>
      </c>
      <c r="D148" s="73" t="s">
        <v>30</v>
      </c>
      <c r="E148" s="74" t="str">
        <f t="shared" si="19"/>
        <v>FK-051Fp</v>
      </c>
      <c r="F148" s="74">
        <f>_xlfn.XLOOKUP(B148,[1]Elevage!A:A,[1]Elevage!B:B)</f>
        <v>46147</v>
      </c>
      <c r="G148" t="str">
        <f t="shared" si="17"/>
        <v>Eco-antibio2</v>
      </c>
      <c r="H148" s="73">
        <f t="shared" si="21"/>
        <v>0</v>
      </c>
      <c r="I148" s="85">
        <v>0</v>
      </c>
      <c r="J148" s="85" t="s">
        <v>966</v>
      </c>
      <c r="K148" s="85">
        <v>0</v>
      </c>
      <c r="L148" s="85" t="s">
        <v>966</v>
      </c>
      <c r="V148" s="127"/>
      <c r="W148" s="127"/>
      <c r="X148" s="127"/>
      <c r="Y148" s="127"/>
      <c r="Z148" s="127"/>
      <c r="AA148" s="127"/>
      <c r="AB148" s="127"/>
      <c r="AC148" s="127"/>
      <c r="AJ148" s="73">
        <v>0</v>
      </c>
    </row>
    <row r="149" spans="1:36" hidden="1" x14ac:dyDescent="0.2">
      <c r="A149" t="s">
        <v>942</v>
      </c>
      <c r="B149" t="str">
        <f t="shared" si="20"/>
        <v>FK-051</v>
      </c>
      <c r="C149" t="s">
        <v>29</v>
      </c>
      <c r="D149" t="s">
        <v>32</v>
      </c>
      <c r="E149" s="2" t="str">
        <f t="shared" si="19"/>
        <v>FK-051Mp</v>
      </c>
      <c r="F149" s="2">
        <f>_xlfn.XLOOKUP(B149,[1]Elevage!A:A,[1]Elevage!B:B)</f>
        <v>46147</v>
      </c>
      <c r="G149" t="str">
        <f t="shared" si="17"/>
        <v>Eco-antibio2</v>
      </c>
      <c r="H149">
        <f t="shared" si="21"/>
        <v>0</v>
      </c>
      <c r="I149" s="84">
        <v>0</v>
      </c>
      <c r="J149" s="84" t="s">
        <v>966</v>
      </c>
      <c r="K149" s="84">
        <v>0</v>
      </c>
      <c r="L149" s="84" t="s">
        <v>966</v>
      </c>
      <c r="AJ149">
        <v>0</v>
      </c>
    </row>
    <row r="150" spans="1:36" hidden="1" x14ac:dyDescent="0.2">
      <c r="A150" t="s">
        <v>942</v>
      </c>
      <c r="B150" t="str">
        <f t="shared" si="20"/>
        <v>FK-051</v>
      </c>
      <c r="C150" t="s">
        <v>31</v>
      </c>
      <c r="D150" t="s">
        <v>30</v>
      </c>
      <c r="E150" s="2" t="str">
        <f t="shared" si="19"/>
        <v>FK-051Fe</v>
      </c>
      <c r="F150" s="2">
        <f>_xlfn.XLOOKUP(B150,[1]Elevage!A:A,[1]Elevage!B:B)</f>
        <v>46147</v>
      </c>
      <c r="G150" t="str">
        <f t="shared" si="17"/>
        <v>Eco-antibio2</v>
      </c>
      <c r="H150">
        <f t="shared" si="21"/>
        <v>0</v>
      </c>
      <c r="I150" s="84">
        <v>0</v>
      </c>
      <c r="J150" s="84" t="s">
        <v>966</v>
      </c>
      <c r="K150" s="84">
        <v>0</v>
      </c>
      <c r="L150" s="84" t="s">
        <v>966</v>
      </c>
      <c r="AJ150">
        <v>0</v>
      </c>
    </row>
    <row r="151" spans="1:36" s="73" customFormat="1" hidden="1" x14ac:dyDescent="0.2">
      <c r="A151" s="73" t="s">
        <v>942</v>
      </c>
      <c r="B151" s="73" t="str">
        <f t="shared" si="20"/>
        <v>FK-052</v>
      </c>
      <c r="C151" s="73" t="s">
        <v>29</v>
      </c>
      <c r="D151" s="73" t="s">
        <v>30</v>
      </c>
      <c r="E151" s="74" t="str">
        <f t="shared" si="19"/>
        <v>FK-052Fp</v>
      </c>
      <c r="F151" s="74">
        <f>_xlfn.XLOOKUP(B151,[1]Elevage!A:A,[1]Elevage!B:B)</f>
        <v>46147</v>
      </c>
      <c r="G151" t="str">
        <f t="shared" si="17"/>
        <v>Eco-antibio2</v>
      </c>
      <c r="H151" s="73">
        <f t="shared" si="21"/>
        <v>0</v>
      </c>
      <c r="I151" s="85">
        <v>0</v>
      </c>
      <c r="J151" s="85" t="s">
        <v>966</v>
      </c>
      <c r="K151" s="85">
        <v>0</v>
      </c>
      <c r="L151" s="85" t="s">
        <v>966</v>
      </c>
      <c r="V151" s="127"/>
      <c r="W151" s="127"/>
      <c r="X151" s="127"/>
      <c r="Y151" s="127"/>
      <c r="Z151" s="127"/>
      <c r="AA151" s="127"/>
      <c r="AB151" s="127"/>
      <c r="AC151" s="127"/>
      <c r="AJ151" s="73">
        <v>0</v>
      </c>
    </row>
    <row r="152" spans="1:36" hidden="1" x14ac:dyDescent="0.2">
      <c r="A152" t="s">
        <v>942</v>
      </c>
      <c r="B152" t="str">
        <f t="shared" si="20"/>
        <v>FK-052</v>
      </c>
      <c r="C152" t="s">
        <v>29</v>
      </c>
      <c r="D152" t="s">
        <v>32</v>
      </c>
      <c r="E152" s="2" t="str">
        <f t="shared" si="19"/>
        <v>FK-052Mp</v>
      </c>
      <c r="F152" s="2">
        <f>_xlfn.XLOOKUP(B152,[1]Elevage!A:A,[1]Elevage!B:B)</f>
        <v>46147</v>
      </c>
      <c r="G152" t="str">
        <f t="shared" si="17"/>
        <v>Eco-antibio2</v>
      </c>
      <c r="H152">
        <f t="shared" si="21"/>
        <v>0</v>
      </c>
      <c r="I152" s="84">
        <v>0</v>
      </c>
      <c r="J152" s="84" t="s">
        <v>966</v>
      </c>
      <c r="K152" s="84">
        <v>0</v>
      </c>
      <c r="L152" s="84" t="s">
        <v>966</v>
      </c>
      <c r="AJ152">
        <v>0</v>
      </c>
    </row>
    <row r="153" spans="1:36" hidden="1" x14ac:dyDescent="0.2">
      <c r="A153" t="s">
        <v>942</v>
      </c>
      <c r="B153" t="str">
        <f t="shared" si="20"/>
        <v>FK-052</v>
      </c>
      <c r="C153" t="s">
        <v>31</v>
      </c>
      <c r="D153" t="s">
        <v>30</v>
      </c>
      <c r="E153" s="2" t="str">
        <f t="shared" si="19"/>
        <v>FK-052Fe</v>
      </c>
      <c r="F153" s="2">
        <f>_xlfn.XLOOKUP(B153,[1]Elevage!A:A,[1]Elevage!B:B)</f>
        <v>46147</v>
      </c>
      <c r="G153" t="str">
        <f t="shared" si="17"/>
        <v>Eco-antibio2</v>
      </c>
      <c r="H153">
        <f t="shared" si="21"/>
        <v>0</v>
      </c>
      <c r="I153" s="84">
        <v>0</v>
      </c>
      <c r="J153" s="84" t="s">
        <v>966</v>
      </c>
      <c r="K153" s="84">
        <v>0</v>
      </c>
      <c r="L153" s="84" t="s">
        <v>966</v>
      </c>
      <c r="AJ153">
        <v>0</v>
      </c>
    </row>
    <row r="154" spans="1:36" s="73" customFormat="1" hidden="1" x14ac:dyDescent="0.2">
      <c r="A154" s="73" t="s">
        <v>942</v>
      </c>
      <c r="B154" s="73" t="str">
        <f t="shared" si="20"/>
        <v>FK-053</v>
      </c>
      <c r="C154" s="73" t="s">
        <v>29</v>
      </c>
      <c r="D154" s="73" t="s">
        <v>30</v>
      </c>
      <c r="E154" s="74" t="str">
        <f t="shared" si="19"/>
        <v>FK-053Fp</v>
      </c>
      <c r="F154" s="74">
        <f>_xlfn.XLOOKUP(B154,[1]Elevage!A:A,[1]Elevage!B:B)</f>
        <v>46147</v>
      </c>
      <c r="G154" t="str">
        <f t="shared" si="17"/>
        <v>Eco-antibio2</v>
      </c>
      <c r="H154" s="73">
        <f t="shared" si="21"/>
        <v>0</v>
      </c>
      <c r="I154" s="85">
        <v>0</v>
      </c>
      <c r="J154" s="85" t="s">
        <v>966</v>
      </c>
      <c r="K154" s="85">
        <v>0</v>
      </c>
      <c r="L154" s="85" t="s">
        <v>966</v>
      </c>
      <c r="V154" s="127"/>
      <c r="W154" s="127"/>
      <c r="X154" s="127"/>
      <c r="Y154" s="127"/>
      <c r="Z154" s="127"/>
      <c r="AA154" s="127"/>
      <c r="AB154" s="127"/>
      <c r="AC154" s="127"/>
      <c r="AJ154" s="73">
        <v>0</v>
      </c>
    </row>
    <row r="155" spans="1:36" hidden="1" x14ac:dyDescent="0.2">
      <c r="A155" t="s">
        <v>942</v>
      </c>
      <c r="B155" t="str">
        <f t="shared" si="20"/>
        <v>FK-053</v>
      </c>
      <c r="C155" t="s">
        <v>29</v>
      </c>
      <c r="D155" t="s">
        <v>32</v>
      </c>
      <c r="E155" s="2" t="str">
        <f t="shared" si="19"/>
        <v>FK-053Mp</v>
      </c>
      <c r="F155" s="2">
        <f>_xlfn.XLOOKUP(B155,[1]Elevage!A:A,[1]Elevage!B:B)</f>
        <v>46147</v>
      </c>
      <c r="G155" t="str">
        <f t="shared" si="17"/>
        <v>Eco-antibio2</v>
      </c>
      <c r="H155">
        <f t="shared" si="21"/>
        <v>0</v>
      </c>
      <c r="I155" s="84">
        <v>0</v>
      </c>
      <c r="J155" s="84" t="s">
        <v>966</v>
      </c>
      <c r="K155" s="84">
        <v>0</v>
      </c>
      <c r="L155" s="84" t="s">
        <v>966</v>
      </c>
      <c r="AJ155">
        <v>0</v>
      </c>
    </row>
    <row r="156" spans="1:36" hidden="1" x14ac:dyDescent="0.2">
      <c r="A156" t="s">
        <v>942</v>
      </c>
      <c r="B156" t="str">
        <f t="shared" si="20"/>
        <v>FK-053</v>
      </c>
      <c r="C156" t="s">
        <v>31</v>
      </c>
      <c r="D156" t="s">
        <v>30</v>
      </c>
      <c r="E156" s="2" t="str">
        <f t="shared" si="19"/>
        <v>FK-053Fe</v>
      </c>
      <c r="F156" s="2">
        <f>_xlfn.XLOOKUP(B156,[1]Elevage!A:A,[1]Elevage!B:B)</f>
        <v>46147</v>
      </c>
      <c r="G156" t="str">
        <f t="shared" si="17"/>
        <v>Eco-antibio2</v>
      </c>
      <c r="H156">
        <f t="shared" si="21"/>
        <v>0</v>
      </c>
      <c r="I156" s="84">
        <v>0</v>
      </c>
      <c r="J156" s="84" t="s">
        <v>966</v>
      </c>
      <c r="K156" s="84">
        <v>0</v>
      </c>
      <c r="L156" s="84" t="s">
        <v>966</v>
      </c>
      <c r="AJ156">
        <v>0</v>
      </c>
    </row>
    <row r="157" spans="1:36" s="73" customFormat="1" hidden="1" x14ac:dyDescent="0.2">
      <c r="A157" s="73" t="s">
        <v>942</v>
      </c>
      <c r="B157" s="73" t="str">
        <f t="shared" si="20"/>
        <v>FK-054</v>
      </c>
      <c r="C157" s="73" t="s">
        <v>29</v>
      </c>
      <c r="D157" s="73" t="s">
        <v>30</v>
      </c>
      <c r="E157" s="74" t="str">
        <f t="shared" si="19"/>
        <v>FK-054Fp</v>
      </c>
      <c r="F157" s="74">
        <f>_xlfn.XLOOKUP(B157,[1]Elevage!A:A,[1]Elevage!B:B)</f>
        <v>46147</v>
      </c>
      <c r="G157" t="str">
        <f t="shared" si="17"/>
        <v>Eco-antibio2</v>
      </c>
      <c r="H157" s="73">
        <f t="shared" si="21"/>
        <v>0</v>
      </c>
      <c r="I157" s="85">
        <v>0</v>
      </c>
      <c r="J157" s="85" t="s">
        <v>966</v>
      </c>
      <c r="K157" s="85">
        <v>0</v>
      </c>
      <c r="L157" s="85" t="s">
        <v>966</v>
      </c>
      <c r="V157" s="127"/>
      <c r="W157" s="127"/>
      <c r="X157" s="127"/>
      <c r="Y157" s="127"/>
      <c r="Z157" s="127"/>
      <c r="AA157" s="127"/>
      <c r="AB157" s="127"/>
      <c r="AC157" s="127"/>
      <c r="AJ157" s="73">
        <v>0</v>
      </c>
    </row>
    <row r="158" spans="1:36" hidden="1" x14ac:dyDescent="0.2">
      <c r="A158" t="s">
        <v>942</v>
      </c>
      <c r="B158" t="str">
        <f t="shared" si="20"/>
        <v>FK-054</v>
      </c>
      <c r="C158" t="s">
        <v>29</v>
      </c>
      <c r="D158" t="s">
        <v>32</v>
      </c>
      <c r="E158" s="2" t="str">
        <f t="shared" si="19"/>
        <v>FK-054Mp</v>
      </c>
      <c r="F158" s="2">
        <f>_xlfn.XLOOKUP(B158,[1]Elevage!A:A,[1]Elevage!B:B)</f>
        <v>46147</v>
      </c>
      <c r="G158" t="str">
        <f t="shared" si="17"/>
        <v>Eco-antibio2</v>
      </c>
      <c r="H158">
        <f t="shared" si="21"/>
        <v>0</v>
      </c>
      <c r="I158" s="84">
        <v>0</v>
      </c>
      <c r="J158" s="84" t="s">
        <v>966</v>
      </c>
      <c r="K158" s="84">
        <v>0</v>
      </c>
      <c r="L158" s="84" t="s">
        <v>966</v>
      </c>
      <c r="AJ158">
        <v>0</v>
      </c>
    </row>
    <row r="159" spans="1:36" hidden="1" x14ac:dyDescent="0.2">
      <c r="A159" t="s">
        <v>942</v>
      </c>
      <c r="B159" t="str">
        <f t="shared" si="20"/>
        <v>FK-054</v>
      </c>
      <c r="C159" t="s">
        <v>31</v>
      </c>
      <c r="D159" t="s">
        <v>30</v>
      </c>
      <c r="E159" s="2" t="str">
        <f t="shared" si="19"/>
        <v>FK-054Fe</v>
      </c>
      <c r="F159" s="2">
        <f>_xlfn.XLOOKUP(B159,[1]Elevage!A:A,[1]Elevage!B:B)</f>
        <v>46147</v>
      </c>
      <c r="G159" t="str">
        <f t="shared" si="17"/>
        <v>Eco-antibio2</v>
      </c>
      <c r="H159">
        <f t="shared" si="21"/>
        <v>0</v>
      </c>
      <c r="I159" s="84">
        <v>0</v>
      </c>
      <c r="J159" s="84" t="s">
        <v>966</v>
      </c>
      <c r="K159" s="84">
        <v>0</v>
      </c>
      <c r="L159" s="84" t="s">
        <v>966</v>
      </c>
      <c r="AJ159">
        <v>0</v>
      </c>
    </row>
    <row r="160" spans="1:36" s="73" customFormat="1" hidden="1" x14ac:dyDescent="0.2">
      <c r="A160" s="73" t="s">
        <v>942</v>
      </c>
      <c r="B160" s="73" t="str">
        <f t="shared" si="20"/>
        <v>FK-055</v>
      </c>
      <c r="C160" s="73" t="s">
        <v>29</v>
      </c>
      <c r="D160" s="73" t="s">
        <v>30</v>
      </c>
      <c r="E160" s="74" t="str">
        <f t="shared" si="19"/>
        <v>FK-055Fp</v>
      </c>
      <c r="F160" s="74">
        <f>_xlfn.XLOOKUP(B160,[1]Elevage!A:A,[1]Elevage!B:B)</f>
        <v>46148</v>
      </c>
      <c r="G160" t="str">
        <f t="shared" si="17"/>
        <v>Eco-antibio2</v>
      </c>
      <c r="H160" s="73">
        <f t="shared" si="21"/>
        <v>0</v>
      </c>
      <c r="I160" s="85">
        <v>0</v>
      </c>
      <c r="J160" s="85" t="s">
        <v>966</v>
      </c>
      <c r="K160" s="85">
        <v>0</v>
      </c>
      <c r="L160" s="85" t="s">
        <v>966</v>
      </c>
      <c r="V160" s="127"/>
      <c r="W160" s="127"/>
      <c r="X160" s="127"/>
      <c r="Y160" s="127"/>
      <c r="Z160" s="127"/>
      <c r="AA160" s="127"/>
      <c r="AB160" s="127"/>
      <c r="AC160" s="127"/>
      <c r="AJ160" s="73">
        <v>0</v>
      </c>
    </row>
    <row r="161" spans="1:36" hidden="1" x14ac:dyDescent="0.2">
      <c r="A161" t="s">
        <v>942</v>
      </c>
      <c r="B161" t="str">
        <f t="shared" si="20"/>
        <v>FK-055</v>
      </c>
      <c r="C161" t="s">
        <v>29</v>
      </c>
      <c r="D161" t="s">
        <v>32</v>
      </c>
      <c r="E161" s="2" t="str">
        <f t="shared" si="19"/>
        <v>FK-055Mp</v>
      </c>
      <c r="F161" s="2">
        <f>_xlfn.XLOOKUP(B161,[1]Elevage!A:A,[1]Elevage!B:B)</f>
        <v>46148</v>
      </c>
      <c r="G161" t="str">
        <f t="shared" si="17"/>
        <v>Eco-antibio2</v>
      </c>
      <c r="H161">
        <f t="shared" si="21"/>
        <v>0</v>
      </c>
      <c r="I161" s="84">
        <v>0</v>
      </c>
      <c r="J161" s="84" t="s">
        <v>966</v>
      </c>
      <c r="K161" s="84">
        <v>0</v>
      </c>
      <c r="L161" s="84" t="s">
        <v>966</v>
      </c>
      <c r="AJ161">
        <v>0</v>
      </c>
    </row>
    <row r="162" spans="1:36" hidden="1" x14ac:dyDescent="0.2">
      <c r="A162" t="s">
        <v>942</v>
      </c>
      <c r="B162" t="str">
        <f t="shared" si="20"/>
        <v>FK-055</v>
      </c>
      <c r="C162" t="s">
        <v>31</v>
      </c>
      <c r="D162" t="s">
        <v>30</v>
      </c>
      <c r="E162" s="2" t="str">
        <f t="shared" si="19"/>
        <v>FK-055Fe</v>
      </c>
      <c r="F162" s="2">
        <f>_xlfn.XLOOKUP(B162,[1]Elevage!A:A,[1]Elevage!B:B)</f>
        <v>46148</v>
      </c>
      <c r="G162" t="str">
        <f t="shared" si="17"/>
        <v>Eco-antibio2</v>
      </c>
      <c r="H162">
        <f t="shared" si="21"/>
        <v>0</v>
      </c>
      <c r="I162" s="84">
        <v>0</v>
      </c>
      <c r="J162" s="84" t="s">
        <v>966</v>
      </c>
      <c r="K162" s="84">
        <v>0</v>
      </c>
      <c r="L162" s="84" t="s">
        <v>966</v>
      </c>
      <c r="AJ162">
        <v>0</v>
      </c>
    </row>
    <row r="163" spans="1:36" s="73" customFormat="1" x14ac:dyDescent="0.2">
      <c r="A163" s="117" t="s">
        <v>942</v>
      </c>
      <c r="B163" s="73" t="str">
        <f t="shared" si="20"/>
        <v>FK-056</v>
      </c>
      <c r="C163" s="73" t="s">
        <v>29</v>
      </c>
      <c r="D163" s="73" t="s">
        <v>30</v>
      </c>
      <c r="E163" s="74" t="str">
        <f t="shared" si="19"/>
        <v>FK-056Fp</v>
      </c>
      <c r="F163" s="74">
        <f>_xlfn.XLOOKUP(B163,[1]Elevage!A:A,[1]Elevage!B:B)</f>
        <v>46148</v>
      </c>
      <c r="G163" t="str">
        <f t="shared" si="17"/>
        <v>Eco-antibio2</v>
      </c>
      <c r="H163" s="73">
        <f t="shared" si="21"/>
        <v>1</v>
      </c>
      <c r="I163" s="85">
        <v>1</v>
      </c>
      <c r="J163" s="85" t="s">
        <v>1204</v>
      </c>
      <c r="K163" s="85">
        <v>0</v>
      </c>
      <c r="L163" s="85" t="s">
        <v>966</v>
      </c>
      <c r="M163" t="s">
        <v>1634</v>
      </c>
      <c r="N163" s="113">
        <v>0</v>
      </c>
      <c r="O163" s="95">
        <v>23</v>
      </c>
      <c r="P163" s="113">
        <v>0</v>
      </c>
      <c r="Q163" s="114">
        <v>16</v>
      </c>
      <c r="R163" s="113">
        <v>0</v>
      </c>
      <c r="S163" s="95">
        <v>24</v>
      </c>
      <c r="T163" s="113">
        <v>17</v>
      </c>
      <c r="U163" s="95">
        <v>22</v>
      </c>
      <c r="V163" s="115">
        <v>0</v>
      </c>
      <c r="W163" s="118">
        <v>24</v>
      </c>
      <c r="X163" s="116">
        <v>34</v>
      </c>
      <c r="Y163" s="116">
        <v>31</v>
      </c>
      <c r="Z163" s="115">
        <v>20</v>
      </c>
      <c r="AA163" s="118">
        <v>24</v>
      </c>
      <c r="AB163" s="115">
        <v>0</v>
      </c>
      <c r="AC163" s="116">
        <v>26</v>
      </c>
      <c r="AD163" s="95" t="s">
        <v>1193</v>
      </c>
      <c r="AH163" s="73" t="s">
        <v>1198</v>
      </c>
      <c r="AI163" s="73" t="s">
        <v>1203</v>
      </c>
      <c r="AJ163" s="121">
        <v>1</v>
      </c>
    </row>
    <row r="164" spans="1:36" x14ac:dyDescent="0.2">
      <c r="A164" t="s">
        <v>942</v>
      </c>
      <c r="B164" t="str">
        <f t="shared" si="20"/>
        <v>FK-056</v>
      </c>
      <c r="C164" t="s">
        <v>29</v>
      </c>
      <c r="D164" t="s">
        <v>32</v>
      </c>
      <c r="E164" s="2" t="str">
        <f t="shared" si="19"/>
        <v>FK-056Mp</v>
      </c>
      <c r="F164" s="2">
        <f>_xlfn.XLOOKUP(B164,[1]Elevage!A:A,[1]Elevage!B:B)</f>
        <v>46148</v>
      </c>
      <c r="G164" t="str">
        <f t="shared" si="17"/>
        <v>Eco-antibio2</v>
      </c>
      <c r="H164">
        <f t="shared" si="21"/>
        <v>0</v>
      </c>
      <c r="I164" s="84">
        <v>0</v>
      </c>
      <c r="J164" s="84" t="s">
        <v>966</v>
      </c>
      <c r="K164" s="84">
        <v>0</v>
      </c>
      <c r="L164" s="84" t="s">
        <v>966</v>
      </c>
      <c r="AJ164" s="122">
        <v>1</v>
      </c>
    </row>
    <row r="165" spans="1:36" x14ac:dyDescent="0.2">
      <c r="A165" t="s">
        <v>942</v>
      </c>
      <c r="B165" t="str">
        <f t="shared" si="20"/>
        <v>FK-056</v>
      </c>
      <c r="C165" t="s">
        <v>31</v>
      </c>
      <c r="D165" t="s">
        <v>30</v>
      </c>
      <c r="E165" s="2" t="str">
        <f t="shared" si="19"/>
        <v>FK-056Fe</v>
      </c>
      <c r="F165" s="2">
        <f>_xlfn.XLOOKUP(B165,[1]Elevage!A:A,[1]Elevage!B:B)</f>
        <v>46148</v>
      </c>
      <c r="G165" t="str">
        <f t="shared" si="17"/>
        <v>Eco-antibio2</v>
      </c>
      <c r="H165">
        <f t="shared" si="21"/>
        <v>0</v>
      </c>
      <c r="I165" s="84">
        <v>0</v>
      </c>
      <c r="J165" s="84" t="s">
        <v>966</v>
      </c>
      <c r="K165" s="84">
        <v>0</v>
      </c>
      <c r="L165" s="84" t="s">
        <v>966</v>
      </c>
      <c r="AJ165" s="122">
        <v>1</v>
      </c>
    </row>
    <row r="166" spans="1:36" s="73" customFormat="1" hidden="1" x14ac:dyDescent="0.2">
      <c r="A166" s="73" t="s">
        <v>942</v>
      </c>
      <c r="B166" s="73" t="str">
        <f t="shared" si="20"/>
        <v>FK-057</v>
      </c>
      <c r="C166" s="73" t="s">
        <v>29</v>
      </c>
      <c r="D166" s="73" t="s">
        <v>30</v>
      </c>
      <c r="E166" s="74" t="str">
        <f t="shared" si="19"/>
        <v>FK-057Fp</v>
      </c>
      <c r="F166" s="74">
        <f>_xlfn.XLOOKUP(B166,[1]Elevage!A:A,[1]Elevage!B:B)</f>
        <v>46148</v>
      </c>
      <c r="G166" t="str">
        <f t="shared" si="17"/>
        <v>Eco-antibio2</v>
      </c>
      <c r="H166" s="73">
        <f t="shared" si="21"/>
        <v>0</v>
      </c>
      <c r="I166" s="85">
        <v>0</v>
      </c>
      <c r="J166" s="85" t="s">
        <v>966</v>
      </c>
      <c r="K166" s="85">
        <v>0</v>
      </c>
      <c r="L166" s="85" t="s">
        <v>966</v>
      </c>
      <c r="V166" s="127"/>
      <c r="W166" s="127"/>
      <c r="X166" s="127"/>
      <c r="Y166" s="127"/>
      <c r="Z166" s="127"/>
      <c r="AA166" s="127"/>
      <c r="AB166" s="127"/>
      <c r="AC166" s="127"/>
      <c r="AJ166" s="73">
        <v>0</v>
      </c>
    </row>
    <row r="167" spans="1:36" hidden="1" x14ac:dyDescent="0.2">
      <c r="A167" t="s">
        <v>942</v>
      </c>
      <c r="B167" t="str">
        <f t="shared" si="20"/>
        <v>FK-057</v>
      </c>
      <c r="C167" t="s">
        <v>29</v>
      </c>
      <c r="D167" t="s">
        <v>32</v>
      </c>
      <c r="E167" s="2" t="str">
        <f t="shared" si="19"/>
        <v>FK-057Mp</v>
      </c>
      <c r="F167" s="2">
        <f>_xlfn.XLOOKUP(B167,[1]Elevage!A:A,[1]Elevage!B:B)</f>
        <v>46148</v>
      </c>
      <c r="G167" t="str">
        <f t="shared" si="17"/>
        <v>Eco-antibio2</v>
      </c>
      <c r="H167">
        <f t="shared" si="21"/>
        <v>0</v>
      </c>
      <c r="I167" s="84">
        <v>0</v>
      </c>
      <c r="J167" s="84" t="s">
        <v>966</v>
      </c>
      <c r="K167" s="84">
        <v>0</v>
      </c>
      <c r="L167" s="84" t="s">
        <v>966</v>
      </c>
      <c r="AJ167">
        <v>0</v>
      </c>
    </row>
    <row r="168" spans="1:36" hidden="1" x14ac:dyDescent="0.2">
      <c r="A168" t="s">
        <v>942</v>
      </c>
      <c r="B168" t="str">
        <f t="shared" si="20"/>
        <v>FK-057</v>
      </c>
      <c r="C168" t="s">
        <v>31</v>
      </c>
      <c r="D168" t="s">
        <v>30</v>
      </c>
      <c r="E168" s="2" t="str">
        <f t="shared" si="19"/>
        <v>FK-057Fe</v>
      </c>
      <c r="F168" s="2">
        <f>_xlfn.XLOOKUP(B168,[1]Elevage!A:A,[1]Elevage!B:B)</f>
        <v>46148</v>
      </c>
      <c r="G168" t="str">
        <f t="shared" si="17"/>
        <v>Eco-antibio2</v>
      </c>
      <c r="H168">
        <f t="shared" si="21"/>
        <v>0</v>
      </c>
      <c r="I168" s="84">
        <v>0</v>
      </c>
      <c r="J168" s="84" t="s">
        <v>966</v>
      </c>
      <c r="K168" s="84">
        <v>0</v>
      </c>
      <c r="L168" s="84" t="s">
        <v>966</v>
      </c>
      <c r="AJ168">
        <v>0</v>
      </c>
    </row>
    <row r="169" spans="1:36" s="73" customFormat="1" hidden="1" x14ac:dyDescent="0.2">
      <c r="A169" s="73" t="s">
        <v>942</v>
      </c>
      <c r="B169" s="73" t="str">
        <f t="shared" si="20"/>
        <v>FK-058</v>
      </c>
      <c r="C169" s="73" t="s">
        <v>29</v>
      </c>
      <c r="D169" s="73" t="s">
        <v>30</v>
      </c>
      <c r="E169" s="74" t="str">
        <f t="shared" si="19"/>
        <v>FK-058Fp</v>
      </c>
      <c r="F169" s="74">
        <f>_xlfn.XLOOKUP(B169,[1]Elevage!A:A,[1]Elevage!B:B)</f>
        <v>46149</v>
      </c>
      <c r="G169" t="str">
        <f t="shared" si="17"/>
        <v>Eco-antibio2</v>
      </c>
      <c r="H169" s="73">
        <f t="shared" si="21"/>
        <v>0</v>
      </c>
      <c r="I169" s="85">
        <v>0</v>
      </c>
      <c r="J169" s="85" t="s">
        <v>966</v>
      </c>
      <c r="K169" s="85">
        <v>0</v>
      </c>
      <c r="L169" s="85" t="s">
        <v>966</v>
      </c>
      <c r="V169" s="127"/>
      <c r="W169" s="127"/>
      <c r="X169" s="127"/>
      <c r="Y169" s="127"/>
      <c r="Z169" s="127"/>
      <c r="AA169" s="127"/>
      <c r="AB169" s="127"/>
      <c r="AC169" s="127"/>
      <c r="AJ169" s="73">
        <v>0</v>
      </c>
    </row>
    <row r="170" spans="1:36" hidden="1" x14ac:dyDescent="0.2">
      <c r="A170" t="s">
        <v>942</v>
      </c>
      <c r="B170" t="str">
        <f t="shared" si="20"/>
        <v>FK-058</v>
      </c>
      <c r="C170" t="s">
        <v>29</v>
      </c>
      <c r="D170" t="s">
        <v>32</v>
      </c>
      <c r="E170" s="2" t="str">
        <f t="shared" si="19"/>
        <v>FK-058Mp</v>
      </c>
      <c r="F170" s="2">
        <f>_xlfn.XLOOKUP(B170,[1]Elevage!A:A,[1]Elevage!B:B)</f>
        <v>46149</v>
      </c>
      <c r="G170" t="str">
        <f t="shared" si="17"/>
        <v>Eco-antibio2</v>
      </c>
      <c r="H170">
        <f t="shared" si="21"/>
        <v>0</v>
      </c>
      <c r="I170" s="84">
        <v>0</v>
      </c>
      <c r="J170" s="84" t="s">
        <v>966</v>
      </c>
      <c r="K170" s="84">
        <v>0</v>
      </c>
      <c r="L170" s="84" t="s">
        <v>966</v>
      </c>
      <c r="AJ170">
        <v>0</v>
      </c>
    </row>
    <row r="171" spans="1:36" hidden="1" x14ac:dyDescent="0.2">
      <c r="A171" t="s">
        <v>942</v>
      </c>
      <c r="B171" t="str">
        <f t="shared" si="20"/>
        <v>FK-058</v>
      </c>
      <c r="C171" t="s">
        <v>31</v>
      </c>
      <c r="D171" t="s">
        <v>30</v>
      </c>
      <c r="E171" s="2" t="str">
        <f t="shared" si="19"/>
        <v>FK-058Fe</v>
      </c>
      <c r="F171" s="2">
        <f>_xlfn.XLOOKUP(B171,[1]Elevage!A:A,[1]Elevage!B:B)</f>
        <v>46149</v>
      </c>
      <c r="G171" t="str">
        <f t="shared" si="17"/>
        <v>Eco-antibio2</v>
      </c>
      <c r="H171">
        <f t="shared" si="21"/>
        <v>0</v>
      </c>
      <c r="I171" s="84">
        <v>0</v>
      </c>
      <c r="J171" s="84" t="s">
        <v>966</v>
      </c>
      <c r="K171" s="84">
        <v>0</v>
      </c>
      <c r="L171" s="84" t="s">
        <v>966</v>
      </c>
      <c r="AJ171">
        <v>0</v>
      </c>
    </row>
    <row r="172" spans="1:36" s="73" customFormat="1" hidden="1" x14ac:dyDescent="0.2">
      <c r="A172" s="73" t="s">
        <v>942</v>
      </c>
      <c r="B172" s="73" t="str">
        <f t="shared" si="20"/>
        <v>FK-059</v>
      </c>
      <c r="C172" s="73" t="s">
        <v>29</v>
      </c>
      <c r="D172" s="73" t="s">
        <v>30</v>
      </c>
      <c r="E172" s="74" t="str">
        <f t="shared" si="19"/>
        <v>FK-059Fp</v>
      </c>
      <c r="F172" s="74">
        <f>_xlfn.XLOOKUP(B172,[1]Elevage!A:A,[1]Elevage!B:B)</f>
        <v>46149</v>
      </c>
      <c r="G172" t="str">
        <f t="shared" si="17"/>
        <v>Eco-antibio2</v>
      </c>
      <c r="H172" s="73">
        <f t="shared" si="21"/>
        <v>0</v>
      </c>
      <c r="I172" s="85">
        <v>0</v>
      </c>
      <c r="J172" s="85" t="s">
        <v>966</v>
      </c>
      <c r="K172" s="85">
        <v>0</v>
      </c>
      <c r="L172" s="85" t="s">
        <v>966</v>
      </c>
      <c r="M172" s="132"/>
      <c r="V172" s="127"/>
      <c r="W172" s="127"/>
      <c r="X172" s="127"/>
      <c r="Y172" s="127"/>
      <c r="Z172" s="127"/>
      <c r="AA172" s="127"/>
      <c r="AB172" s="127"/>
      <c r="AC172" s="127"/>
      <c r="AJ172" s="73">
        <v>0</v>
      </c>
    </row>
    <row r="173" spans="1:36" hidden="1" x14ac:dyDescent="0.2">
      <c r="A173" t="s">
        <v>942</v>
      </c>
      <c r="B173" t="str">
        <f t="shared" si="20"/>
        <v>FK-059</v>
      </c>
      <c r="C173" t="s">
        <v>29</v>
      </c>
      <c r="D173" t="s">
        <v>32</v>
      </c>
      <c r="E173" s="2" t="str">
        <f t="shared" si="19"/>
        <v>FK-059Mp</v>
      </c>
      <c r="F173" s="2">
        <f>_xlfn.XLOOKUP(B173,[1]Elevage!A:A,[1]Elevage!B:B)</f>
        <v>46149</v>
      </c>
      <c r="G173" t="str">
        <f t="shared" si="17"/>
        <v>Eco-antibio2</v>
      </c>
      <c r="H173">
        <f t="shared" si="21"/>
        <v>0</v>
      </c>
      <c r="I173" s="84">
        <v>0</v>
      </c>
      <c r="J173" s="84" t="s">
        <v>966</v>
      </c>
      <c r="K173" s="84">
        <v>0</v>
      </c>
      <c r="L173" s="84" t="s">
        <v>966</v>
      </c>
      <c r="M173" s="132"/>
      <c r="AJ173">
        <v>0</v>
      </c>
    </row>
    <row r="174" spans="1:36" hidden="1" x14ac:dyDescent="0.2">
      <c r="A174" t="s">
        <v>942</v>
      </c>
      <c r="B174" t="str">
        <f t="shared" si="20"/>
        <v>FK-059</v>
      </c>
      <c r="C174" t="s">
        <v>31</v>
      </c>
      <c r="D174" t="s">
        <v>30</v>
      </c>
      <c r="E174" s="2" t="str">
        <f t="shared" si="19"/>
        <v>FK-059Fe</v>
      </c>
      <c r="F174" s="2">
        <f>_xlfn.XLOOKUP(B174,[1]Elevage!A:A,[1]Elevage!B:B)</f>
        <v>46149</v>
      </c>
      <c r="G174" t="str">
        <f t="shared" si="17"/>
        <v>Eco-antibio2</v>
      </c>
      <c r="H174">
        <f t="shared" si="21"/>
        <v>0</v>
      </c>
      <c r="I174" s="84">
        <v>0</v>
      </c>
      <c r="J174" s="84" t="s">
        <v>966</v>
      </c>
      <c r="K174" s="84">
        <v>0</v>
      </c>
      <c r="L174" s="84" t="s">
        <v>966</v>
      </c>
      <c r="AJ174">
        <v>0</v>
      </c>
    </row>
    <row r="175" spans="1:36" s="73" customFormat="1" hidden="1" x14ac:dyDescent="0.2">
      <c r="A175" s="73" t="s">
        <v>942</v>
      </c>
      <c r="B175" s="73" t="str">
        <f t="shared" si="20"/>
        <v>FK-060</v>
      </c>
      <c r="C175" s="73" t="s">
        <v>29</v>
      </c>
      <c r="D175" s="73" t="s">
        <v>30</v>
      </c>
      <c r="E175" s="74" t="str">
        <f t="shared" si="19"/>
        <v>FK-060Fp</v>
      </c>
      <c r="F175" s="74">
        <f>_xlfn.XLOOKUP(B175,[1]Elevage!A:A,[1]Elevage!B:B)</f>
        <v>46149</v>
      </c>
      <c r="G175" t="str">
        <f t="shared" si="17"/>
        <v>Eco-antibio2</v>
      </c>
      <c r="H175" s="73">
        <f t="shared" si="21"/>
        <v>0</v>
      </c>
      <c r="I175" s="85">
        <v>0</v>
      </c>
      <c r="J175" s="85" t="s">
        <v>966</v>
      </c>
      <c r="K175" s="85">
        <v>0</v>
      </c>
      <c r="L175" s="85" t="s">
        <v>966</v>
      </c>
      <c r="V175" s="127"/>
      <c r="W175" s="127"/>
      <c r="X175" s="127"/>
      <c r="Y175" s="127"/>
      <c r="Z175" s="127"/>
      <c r="AA175" s="127"/>
      <c r="AB175" s="127"/>
      <c r="AC175" s="127"/>
      <c r="AJ175" s="73">
        <v>0</v>
      </c>
    </row>
    <row r="176" spans="1:36" hidden="1" x14ac:dyDescent="0.2">
      <c r="A176" t="s">
        <v>942</v>
      </c>
      <c r="B176" t="str">
        <f t="shared" si="20"/>
        <v>FK-060</v>
      </c>
      <c r="C176" t="s">
        <v>29</v>
      </c>
      <c r="D176" t="s">
        <v>32</v>
      </c>
      <c r="E176" s="2" t="str">
        <f t="shared" si="19"/>
        <v>FK-060Mp</v>
      </c>
      <c r="F176" s="2">
        <f>_xlfn.XLOOKUP(B176,[1]Elevage!A:A,[1]Elevage!B:B)</f>
        <v>46149</v>
      </c>
      <c r="G176" t="str">
        <f t="shared" si="17"/>
        <v>Eco-antibio2</v>
      </c>
      <c r="H176">
        <f t="shared" si="21"/>
        <v>0</v>
      </c>
      <c r="I176" s="84">
        <v>0</v>
      </c>
      <c r="J176" s="84" t="s">
        <v>966</v>
      </c>
      <c r="K176" s="84">
        <v>0</v>
      </c>
      <c r="L176" s="84" t="s">
        <v>966</v>
      </c>
      <c r="AJ176">
        <v>0</v>
      </c>
    </row>
    <row r="177" spans="1:36" hidden="1" x14ac:dyDescent="0.2">
      <c r="A177" t="s">
        <v>942</v>
      </c>
      <c r="B177" t="str">
        <f t="shared" si="20"/>
        <v>FK-060</v>
      </c>
      <c r="C177" t="s">
        <v>31</v>
      </c>
      <c r="D177" t="s">
        <v>30</v>
      </c>
      <c r="E177" s="2" t="str">
        <f t="shared" si="19"/>
        <v>FK-060Fe</v>
      </c>
      <c r="F177" s="2">
        <f>_xlfn.XLOOKUP(B177,[1]Elevage!A:A,[1]Elevage!B:B)</f>
        <v>46149</v>
      </c>
      <c r="G177" t="str">
        <f t="shared" si="17"/>
        <v>Eco-antibio2</v>
      </c>
      <c r="H177">
        <f t="shared" si="21"/>
        <v>0</v>
      </c>
      <c r="I177" s="84">
        <v>0</v>
      </c>
      <c r="J177" s="84" t="s">
        <v>966</v>
      </c>
      <c r="K177" s="84">
        <v>0</v>
      </c>
      <c r="L177" s="84" t="s">
        <v>966</v>
      </c>
      <c r="AJ177">
        <v>0</v>
      </c>
    </row>
    <row r="178" spans="1:36" s="73" customFormat="1" hidden="1" x14ac:dyDescent="0.2">
      <c r="A178" s="73" t="s">
        <v>942</v>
      </c>
      <c r="B178" s="73" t="s">
        <v>1154</v>
      </c>
      <c r="C178" s="73" t="s">
        <v>29</v>
      </c>
      <c r="D178" s="73" t="s">
        <v>30</v>
      </c>
      <c r="E178" s="74" t="str">
        <f t="shared" ref="E178:E180" si="22">B178&amp;IF(D178="charcutier","M",IF(D178="cochette","F",""))&amp;IF(C178="Pédichiffe","p",IF(C178="Ecouvillon","e",IF(C178="Feces","f","")))</f>
        <v>FK-060bFp</v>
      </c>
      <c r="F178" s="74">
        <f>_xlfn.XLOOKUP(B178,[1]Elevage!A:A,[1]Elevage!B:B)</f>
        <v>46153</v>
      </c>
      <c r="G178" t="str">
        <f t="shared" si="17"/>
        <v>Eco-antibio2</v>
      </c>
      <c r="H178" s="73">
        <f t="shared" ref="H178:H180" si="23">IF(AND(I178=0,K178=0),0,1)</f>
        <v>0</v>
      </c>
      <c r="I178" s="85">
        <v>0</v>
      </c>
      <c r="J178" s="85" t="s">
        <v>966</v>
      </c>
      <c r="K178" s="85">
        <v>0</v>
      </c>
      <c r="L178" s="85" t="s">
        <v>966</v>
      </c>
      <c r="V178" s="127"/>
      <c r="W178" s="127"/>
      <c r="X178" s="127"/>
      <c r="Y178" s="127"/>
      <c r="Z178" s="127"/>
      <c r="AA178" s="127"/>
      <c r="AB178" s="127"/>
      <c r="AC178" s="127"/>
      <c r="AJ178" s="73">
        <v>0</v>
      </c>
    </row>
    <row r="179" spans="1:36" hidden="1" x14ac:dyDescent="0.2">
      <c r="A179" t="s">
        <v>942</v>
      </c>
      <c r="B179" t="s">
        <v>1154</v>
      </c>
      <c r="C179" t="s">
        <v>29</v>
      </c>
      <c r="D179" t="s">
        <v>32</v>
      </c>
      <c r="E179" s="2" t="str">
        <f t="shared" si="22"/>
        <v>FK-060bMp</v>
      </c>
      <c r="F179" s="2">
        <f>_xlfn.XLOOKUP(B179,[1]Elevage!A:A,[1]Elevage!B:B)</f>
        <v>46153</v>
      </c>
      <c r="G179" t="str">
        <f t="shared" si="17"/>
        <v>Eco-antibio2</v>
      </c>
      <c r="H179">
        <f t="shared" si="23"/>
        <v>0</v>
      </c>
      <c r="I179" s="84">
        <v>0</v>
      </c>
      <c r="J179" s="84" t="s">
        <v>966</v>
      </c>
      <c r="K179" s="84">
        <v>0</v>
      </c>
      <c r="L179" s="84" t="s">
        <v>966</v>
      </c>
      <c r="AJ179">
        <v>0</v>
      </c>
    </row>
    <row r="180" spans="1:36" hidden="1" x14ac:dyDescent="0.2">
      <c r="A180" t="s">
        <v>942</v>
      </c>
      <c r="B180" t="s">
        <v>1154</v>
      </c>
      <c r="C180" t="s">
        <v>31</v>
      </c>
      <c r="D180" t="s">
        <v>30</v>
      </c>
      <c r="E180" s="2" t="str">
        <f t="shared" si="22"/>
        <v>FK-060bFe</v>
      </c>
      <c r="F180" s="2">
        <f>_xlfn.XLOOKUP(B180,[1]Elevage!A:A,[1]Elevage!B:B)</f>
        <v>46153</v>
      </c>
      <c r="G180" t="str">
        <f t="shared" si="17"/>
        <v>Eco-antibio2</v>
      </c>
      <c r="H180">
        <f t="shared" si="23"/>
        <v>0</v>
      </c>
      <c r="I180" s="84">
        <v>0</v>
      </c>
      <c r="J180" s="84" t="s">
        <v>966</v>
      </c>
      <c r="K180" s="84">
        <v>0</v>
      </c>
      <c r="L180" s="84" t="s">
        <v>966</v>
      </c>
      <c r="AJ180">
        <v>0</v>
      </c>
    </row>
    <row r="181" spans="1:36" s="73" customFormat="1" hidden="1" x14ac:dyDescent="0.2">
      <c r="A181" s="73" t="s">
        <v>942</v>
      </c>
      <c r="B181" s="73" t="str">
        <f>"FK-"&amp;TEXT(61+INT((ROW()-181)/3),"000")</f>
        <v>FK-061</v>
      </c>
      <c r="C181" s="73" t="s">
        <v>29</v>
      </c>
      <c r="D181" s="73" t="s">
        <v>30</v>
      </c>
      <c r="E181" s="74" t="str">
        <f t="shared" si="19"/>
        <v>FK-061Fp</v>
      </c>
      <c r="F181" s="74">
        <f>_xlfn.XLOOKUP(B181,[1]Elevage!A:A,[1]Elevage!B:B)</f>
        <v>46153</v>
      </c>
      <c r="G181" t="str">
        <f>G175</f>
        <v>Eco-antibio2</v>
      </c>
      <c r="H181" s="73">
        <f t="shared" si="21"/>
        <v>0</v>
      </c>
      <c r="I181" s="85">
        <v>0</v>
      </c>
      <c r="J181" s="85" t="s">
        <v>966</v>
      </c>
      <c r="K181" s="85">
        <v>0</v>
      </c>
      <c r="L181" s="85" t="s">
        <v>966</v>
      </c>
      <c r="V181" s="127"/>
      <c r="W181" s="127"/>
      <c r="X181" s="127"/>
      <c r="Y181" s="127"/>
      <c r="Z181" s="127"/>
      <c r="AA181" s="127"/>
      <c r="AB181" s="127"/>
      <c r="AC181" s="127"/>
      <c r="AJ181" s="73">
        <v>0</v>
      </c>
    </row>
    <row r="182" spans="1:36" hidden="1" x14ac:dyDescent="0.2">
      <c r="A182" t="s">
        <v>942</v>
      </c>
      <c r="B182" t="str">
        <f>"FK-"&amp;TEXT(61+INT((ROW()-181)/3),"000")</f>
        <v>FK-061</v>
      </c>
      <c r="C182" t="s">
        <v>29</v>
      </c>
      <c r="D182" t="s">
        <v>32</v>
      </c>
      <c r="E182" s="2" t="str">
        <f t="shared" si="19"/>
        <v>FK-061Mp</v>
      </c>
      <c r="F182" s="2">
        <f>_xlfn.XLOOKUP(B182,[1]Elevage!A:A,[1]Elevage!B:B)</f>
        <v>46153</v>
      </c>
      <c r="G182" t="str">
        <f>G176</f>
        <v>Eco-antibio2</v>
      </c>
      <c r="H182">
        <f t="shared" si="21"/>
        <v>0</v>
      </c>
      <c r="I182" s="84">
        <v>0</v>
      </c>
      <c r="J182" s="84" t="s">
        <v>966</v>
      </c>
      <c r="K182" s="84">
        <v>0</v>
      </c>
      <c r="L182" s="84" t="s">
        <v>966</v>
      </c>
      <c r="AJ182">
        <v>0</v>
      </c>
    </row>
    <row r="183" spans="1:36" hidden="1" x14ac:dyDescent="0.2">
      <c r="A183" t="s">
        <v>942</v>
      </c>
      <c r="B183" t="str">
        <f>"FK-"&amp;TEXT(61+INT((ROW()-181)/3),"000")</f>
        <v>FK-061</v>
      </c>
      <c r="C183" t="s">
        <v>31</v>
      </c>
      <c r="D183" t="s">
        <v>30</v>
      </c>
      <c r="E183" s="2" t="str">
        <f t="shared" si="19"/>
        <v>FK-061Fe</v>
      </c>
      <c r="F183" s="2">
        <f>_xlfn.XLOOKUP(B183,[1]Elevage!A:A,[1]Elevage!B:B)</f>
        <v>46153</v>
      </c>
      <c r="G183" t="str">
        <f>G177</f>
        <v>Eco-antibio2</v>
      </c>
      <c r="H183">
        <f t="shared" si="21"/>
        <v>0</v>
      </c>
      <c r="I183" s="84">
        <v>0</v>
      </c>
      <c r="J183" s="84" t="s">
        <v>966</v>
      </c>
      <c r="K183" s="84">
        <v>0</v>
      </c>
      <c r="L183" s="84" t="s">
        <v>966</v>
      </c>
      <c r="AJ183">
        <v>0</v>
      </c>
    </row>
    <row r="184" spans="1:36" s="73" customFormat="1" x14ac:dyDescent="0.2">
      <c r="A184" s="130" t="s">
        <v>942</v>
      </c>
      <c r="B184" s="73" t="str">
        <f t="shared" ref="B184:B222" si="24">"FK-"&amp;TEXT(61+INT((ROW()-181)/3),"000")</f>
        <v>FK-062</v>
      </c>
      <c r="C184" s="73" t="s">
        <v>29</v>
      </c>
      <c r="D184" s="73" t="s">
        <v>30</v>
      </c>
      <c r="E184" s="74" t="str">
        <f t="shared" si="19"/>
        <v>FK-062Fp</v>
      </c>
      <c r="F184" s="74">
        <f>_xlfn.XLOOKUP(B184,[1]Elevage!A:A,[1]Elevage!B:B)</f>
        <v>46153</v>
      </c>
      <c r="G184" t="str">
        <f t="shared" si="17"/>
        <v>Eco-antibio2</v>
      </c>
      <c r="H184" s="73">
        <f t="shared" si="21"/>
        <v>1</v>
      </c>
      <c r="I184" s="85">
        <v>1</v>
      </c>
      <c r="J184" s="85" t="s">
        <v>1204</v>
      </c>
      <c r="K184" s="85">
        <v>0</v>
      </c>
      <c r="L184" s="85" t="s">
        <v>966</v>
      </c>
      <c r="M184" s="132" t="s">
        <v>1632</v>
      </c>
      <c r="N184" s="113">
        <v>0</v>
      </c>
      <c r="O184" s="95">
        <v>29</v>
      </c>
      <c r="P184" s="113">
        <v>0</v>
      </c>
      <c r="Q184" s="113">
        <v>0</v>
      </c>
      <c r="R184" s="95">
        <v>23</v>
      </c>
      <c r="S184" s="95">
        <v>24</v>
      </c>
      <c r="T184" s="95">
        <v>34</v>
      </c>
      <c r="U184" s="95">
        <v>23</v>
      </c>
      <c r="V184" s="115">
        <v>0</v>
      </c>
      <c r="W184" s="116">
        <v>40</v>
      </c>
      <c r="X184" s="116">
        <v>42</v>
      </c>
      <c r="Y184" s="116">
        <v>30</v>
      </c>
      <c r="Z184" s="116">
        <v>38</v>
      </c>
      <c r="AA184" s="116">
        <v>48</v>
      </c>
      <c r="AB184" s="116">
        <v>38</v>
      </c>
      <c r="AC184" s="116">
        <v>32</v>
      </c>
      <c r="AD184" s="95" t="s">
        <v>1193</v>
      </c>
      <c r="AH184" s="73" t="s">
        <v>1332</v>
      </c>
      <c r="AI184" s="73" t="s">
        <v>1203</v>
      </c>
      <c r="AJ184" s="121">
        <v>1</v>
      </c>
    </row>
    <row r="185" spans="1:36" x14ac:dyDescent="0.2">
      <c r="A185" t="s">
        <v>942</v>
      </c>
      <c r="B185" t="str">
        <f t="shared" si="24"/>
        <v>FK-062</v>
      </c>
      <c r="C185" t="s">
        <v>29</v>
      </c>
      <c r="D185" t="s">
        <v>32</v>
      </c>
      <c r="E185" s="2" t="str">
        <f t="shared" si="19"/>
        <v>FK-062Mp</v>
      </c>
      <c r="F185" s="2">
        <f>_xlfn.XLOOKUP(B185,[1]Elevage!A:A,[1]Elevage!B:B)</f>
        <v>46153</v>
      </c>
      <c r="G185" t="str">
        <f t="shared" si="17"/>
        <v>Eco-antibio2</v>
      </c>
      <c r="H185">
        <f t="shared" si="21"/>
        <v>0</v>
      </c>
      <c r="I185" s="84">
        <v>0</v>
      </c>
      <c r="J185" s="84" t="s">
        <v>966</v>
      </c>
      <c r="K185" s="84">
        <v>0</v>
      </c>
      <c r="L185" s="84" t="s">
        <v>966</v>
      </c>
      <c r="AJ185" s="122">
        <v>1</v>
      </c>
    </row>
    <row r="186" spans="1:36" x14ac:dyDescent="0.2">
      <c r="A186" t="s">
        <v>942</v>
      </c>
      <c r="B186" t="str">
        <f t="shared" si="24"/>
        <v>FK-062</v>
      </c>
      <c r="C186" t="s">
        <v>31</v>
      </c>
      <c r="D186" t="s">
        <v>30</v>
      </c>
      <c r="E186" s="2" t="str">
        <f t="shared" si="19"/>
        <v>FK-062Fe</v>
      </c>
      <c r="F186" s="2">
        <f>_xlfn.XLOOKUP(B186,[1]Elevage!A:A,[1]Elevage!B:B)</f>
        <v>46153</v>
      </c>
      <c r="G186" t="str">
        <f t="shared" si="17"/>
        <v>Eco-antibio2</v>
      </c>
      <c r="H186">
        <f t="shared" si="21"/>
        <v>0</v>
      </c>
      <c r="I186" s="84">
        <v>0</v>
      </c>
      <c r="J186" s="84" t="s">
        <v>966</v>
      </c>
      <c r="K186" s="84">
        <v>0</v>
      </c>
      <c r="L186" s="84" t="s">
        <v>966</v>
      </c>
      <c r="AJ186" s="122">
        <v>1</v>
      </c>
    </row>
    <row r="187" spans="1:36" s="73" customFormat="1" hidden="1" x14ac:dyDescent="0.2">
      <c r="A187" s="73" t="s">
        <v>942</v>
      </c>
      <c r="B187" s="73" t="str">
        <f t="shared" si="24"/>
        <v>FK-063</v>
      </c>
      <c r="C187" s="73" t="s">
        <v>29</v>
      </c>
      <c r="D187" s="73" t="s">
        <v>30</v>
      </c>
      <c r="E187" s="74" t="str">
        <f t="shared" si="19"/>
        <v>FK-063Fp</v>
      </c>
      <c r="F187" s="74">
        <f>_xlfn.XLOOKUP(B187,[1]Elevage!A:A,[1]Elevage!B:B)</f>
        <v>46153</v>
      </c>
      <c r="G187" t="str">
        <f t="shared" si="17"/>
        <v>Eco-antibio2</v>
      </c>
      <c r="H187" s="73">
        <f t="shared" si="21"/>
        <v>0</v>
      </c>
      <c r="I187" s="85">
        <v>0</v>
      </c>
      <c r="J187" s="85" t="s">
        <v>966</v>
      </c>
      <c r="K187" s="85">
        <v>0</v>
      </c>
      <c r="L187" s="85" t="s">
        <v>966</v>
      </c>
      <c r="AJ187" s="73">
        <v>0</v>
      </c>
    </row>
    <row r="188" spans="1:36" hidden="1" x14ac:dyDescent="0.2">
      <c r="A188" t="s">
        <v>942</v>
      </c>
      <c r="B188" t="str">
        <f t="shared" si="24"/>
        <v>FK-063</v>
      </c>
      <c r="C188" t="s">
        <v>29</v>
      </c>
      <c r="D188" t="s">
        <v>32</v>
      </c>
      <c r="E188" s="2" t="str">
        <f t="shared" si="19"/>
        <v>FK-063Mp</v>
      </c>
      <c r="F188" s="2">
        <f>_xlfn.XLOOKUP(B188,[1]Elevage!A:A,[1]Elevage!B:B)</f>
        <v>46153</v>
      </c>
      <c r="G188" t="str">
        <f t="shared" si="17"/>
        <v>Eco-antibio2</v>
      </c>
      <c r="H188">
        <f t="shared" si="21"/>
        <v>0</v>
      </c>
      <c r="I188" s="84">
        <v>0</v>
      </c>
      <c r="J188" s="84" t="s">
        <v>966</v>
      </c>
      <c r="K188" s="84">
        <v>0</v>
      </c>
      <c r="L188" s="84" t="s">
        <v>966</v>
      </c>
      <c r="AJ188">
        <v>0</v>
      </c>
    </row>
    <row r="189" spans="1:36" hidden="1" x14ac:dyDescent="0.2">
      <c r="A189" t="s">
        <v>942</v>
      </c>
      <c r="B189" t="str">
        <f t="shared" si="24"/>
        <v>FK-063</v>
      </c>
      <c r="C189" t="s">
        <v>31</v>
      </c>
      <c r="D189" t="s">
        <v>30</v>
      </c>
      <c r="E189" s="2" t="str">
        <f t="shared" si="19"/>
        <v>FK-063Fe</v>
      </c>
      <c r="F189" s="2">
        <f>_xlfn.XLOOKUP(B189,[1]Elevage!A:A,[1]Elevage!B:B)</f>
        <v>46153</v>
      </c>
      <c r="G189" t="str">
        <f t="shared" si="17"/>
        <v>Eco-antibio2</v>
      </c>
      <c r="H189">
        <f t="shared" si="21"/>
        <v>0</v>
      </c>
      <c r="I189" s="84">
        <v>0</v>
      </c>
      <c r="J189" s="84" t="s">
        <v>966</v>
      </c>
      <c r="K189" s="84">
        <v>0</v>
      </c>
      <c r="L189" s="84" t="s">
        <v>966</v>
      </c>
      <c r="AJ189">
        <v>0</v>
      </c>
    </row>
    <row r="190" spans="1:36" s="73" customFormat="1" hidden="1" x14ac:dyDescent="0.2">
      <c r="A190" s="73" t="s">
        <v>942</v>
      </c>
      <c r="B190" s="73" t="str">
        <f t="shared" si="24"/>
        <v>FK-064</v>
      </c>
      <c r="C190" s="73" t="s">
        <v>29</v>
      </c>
      <c r="D190" s="73" t="s">
        <v>30</v>
      </c>
      <c r="E190" s="74" t="str">
        <f t="shared" si="19"/>
        <v>FK-064Fp</v>
      </c>
      <c r="F190" s="74">
        <f>_xlfn.XLOOKUP(B190,[1]Elevage!A:A,[1]Elevage!B:B)</f>
        <v>46153</v>
      </c>
      <c r="G190" t="str">
        <f t="shared" si="17"/>
        <v>Eco-antibio2</v>
      </c>
      <c r="H190" s="73">
        <f t="shared" si="21"/>
        <v>0</v>
      </c>
      <c r="I190" s="85">
        <v>0</v>
      </c>
      <c r="J190" s="85" t="s">
        <v>966</v>
      </c>
      <c r="K190" s="85">
        <v>0</v>
      </c>
      <c r="L190" s="85" t="s">
        <v>966</v>
      </c>
      <c r="V190" s="127"/>
      <c r="W190" s="127"/>
      <c r="X190" s="127"/>
      <c r="Y190" s="127"/>
      <c r="Z190" s="127"/>
      <c r="AA190" s="127"/>
      <c r="AB190" s="127"/>
      <c r="AC190" s="127"/>
      <c r="AJ190" s="73">
        <v>0</v>
      </c>
    </row>
    <row r="191" spans="1:36" hidden="1" x14ac:dyDescent="0.2">
      <c r="A191" t="s">
        <v>942</v>
      </c>
      <c r="B191" t="str">
        <f t="shared" si="24"/>
        <v>FK-064</v>
      </c>
      <c r="C191" t="s">
        <v>29</v>
      </c>
      <c r="D191" t="s">
        <v>32</v>
      </c>
      <c r="E191" s="2" t="str">
        <f t="shared" si="19"/>
        <v>FK-064Mp</v>
      </c>
      <c r="F191" s="2">
        <f>_xlfn.XLOOKUP(B191,[1]Elevage!A:A,[1]Elevage!B:B)</f>
        <v>46153</v>
      </c>
      <c r="G191" t="str">
        <f t="shared" si="17"/>
        <v>Eco-antibio2</v>
      </c>
      <c r="H191">
        <f t="shared" si="21"/>
        <v>0</v>
      </c>
      <c r="I191" s="84">
        <v>0</v>
      </c>
      <c r="J191" s="84" t="s">
        <v>966</v>
      </c>
      <c r="K191" s="84">
        <v>0</v>
      </c>
      <c r="L191" s="84" t="s">
        <v>966</v>
      </c>
      <c r="AJ191">
        <v>0</v>
      </c>
    </row>
    <row r="192" spans="1:36" hidden="1" x14ac:dyDescent="0.2">
      <c r="A192" t="s">
        <v>942</v>
      </c>
      <c r="B192" t="str">
        <f t="shared" si="24"/>
        <v>FK-064</v>
      </c>
      <c r="C192" t="s">
        <v>31</v>
      </c>
      <c r="D192" t="s">
        <v>30</v>
      </c>
      <c r="E192" s="2" t="str">
        <f t="shared" si="19"/>
        <v>FK-064Fe</v>
      </c>
      <c r="F192" s="2">
        <f>_xlfn.XLOOKUP(B192,[1]Elevage!A:A,[1]Elevage!B:B)</f>
        <v>46153</v>
      </c>
      <c r="G192" t="str">
        <f t="shared" si="17"/>
        <v>Eco-antibio2</v>
      </c>
      <c r="H192">
        <f t="shared" si="21"/>
        <v>0</v>
      </c>
      <c r="I192" s="84">
        <v>0</v>
      </c>
      <c r="J192" s="84" t="s">
        <v>966</v>
      </c>
      <c r="K192" s="84">
        <v>0</v>
      </c>
      <c r="L192" s="84" t="s">
        <v>966</v>
      </c>
      <c r="AJ192">
        <v>0</v>
      </c>
    </row>
    <row r="193" spans="1:36" s="73" customFormat="1" hidden="1" x14ac:dyDescent="0.2">
      <c r="A193" s="73" t="s">
        <v>942</v>
      </c>
      <c r="B193" s="73" t="str">
        <f t="shared" si="24"/>
        <v>FK-065</v>
      </c>
      <c r="C193" s="73" t="s">
        <v>29</v>
      </c>
      <c r="D193" s="73" t="s">
        <v>30</v>
      </c>
      <c r="E193" s="74" t="str">
        <f t="shared" si="19"/>
        <v>FK-065Fp</v>
      </c>
      <c r="F193" s="74">
        <f>_xlfn.XLOOKUP(B193,[1]Elevage!A:A,[1]Elevage!B:B)</f>
        <v>46154</v>
      </c>
      <c r="G193" t="str">
        <f t="shared" si="17"/>
        <v>Eco-antibio2</v>
      </c>
      <c r="H193" s="73">
        <f t="shared" si="21"/>
        <v>0</v>
      </c>
      <c r="I193" s="85">
        <v>0</v>
      </c>
      <c r="J193" s="85" t="s">
        <v>966</v>
      </c>
      <c r="K193" s="85">
        <v>0</v>
      </c>
      <c r="L193" s="85" t="s">
        <v>966</v>
      </c>
      <c r="V193" s="127"/>
      <c r="W193" s="127"/>
      <c r="X193" s="127"/>
      <c r="Y193" s="127"/>
      <c r="Z193" s="127"/>
      <c r="AA193" s="127"/>
      <c r="AB193" s="127"/>
      <c r="AC193" s="127"/>
      <c r="AJ193" s="73">
        <v>0</v>
      </c>
    </row>
    <row r="194" spans="1:36" hidden="1" x14ac:dyDescent="0.2">
      <c r="A194" t="s">
        <v>942</v>
      </c>
      <c r="B194" t="str">
        <f t="shared" si="24"/>
        <v>FK-065</v>
      </c>
      <c r="C194" t="s">
        <v>29</v>
      </c>
      <c r="D194" t="s">
        <v>32</v>
      </c>
      <c r="E194" s="2" t="str">
        <f t="shared" si="19"/>
        <v>FK-065Mp</v>
      </c>
      <c r="F194" s="2">
        <f>_xlfn.XLOOKUP(B194,[1]Elevage!A:A,[1]Elevage!B:B)</f>
        <v>46154</v>
      </c>
      <c r="G194" t="str">
        <f t="shared" si="17"/>
        <v>Eco-antibio2</v>
      </c>
      <c r="H194">
        <f t="shared" si="21"/>
        <v>0</v>
      </c>
      <c r="I194" s="84">
        <v>0</v>
      </c>
      <c r="J194" s="84" t="s">
        <v>966</v>
      </c>
      <c r="K194" s="84">
        <v>0</v>
      </c>
      <c r="L194" s="84" t="s">
        <v>966</v>
      </c>
      <c r="AJ194">
        <v>0</v>
      </c>
    </row>
    <row r="195" spans="1:36" hidden="1" x14ac:dyDescent="0.2">
      <c r="A195" t="s">
        <v>942</v>
      </c>
      <c r="B195" t="str">
        <f t="shared" si="24"/>
        <v>FK-065</v>
      </c>
      <c r="C195" t="s">
        <v>31</v>
      </c>
      <c r="D195" t="s">
        <v>30</v>
      </c>
      <c r="E195" s="2" t="str">
        <f t="shared" si="19"/>
        <v>FK-065Fe</v>
      </c>
      <c r="F195" s="2">
        <f>_xlfn.XLOOKUP(B195,[1]Elevage!A:A,[1]Elevage!B:B)</f>
        <v>46154</v>
      </c>
      <c r="G195" t="str">
        <f t="shared" si="17"/>
        <v>Eco-antibio2</v>
      </c>
      <c r="H195">
        <f t="shared" si="21"/>
        <v>0</v>
      </c>
      <c r="I195" s="84">
        <v>0</v>
      </c>
      <c r="J195" s="84" t="s">
        <v>966</v>
      </c>
      <c r="K195" s="84">
        <v>0</v>
      </c>
      <c r="L195" s="84" t="s">
        <v>966</v>
      </c>
      <c r="AJ195">
        <v>0</v>
      </c>
    </row>
    <row r="196" spans="1:36" s="73" customFormat="1" hidden="1" x14ac:dyDescent="0.2">
      <c r="A196" s="73" t="s">
        <v>942</v>
      </c>
      <c r="B196" s="73" t="str">
        <f t="shared" si="24"/>
        <v>FK-066</v>
      </c>
      <c r="C196" s="73" t="s">
        <v>29</v>
      </c>
      <c r="D196" s="73" t="s">
        <v>30</v>
      </c>
      <c r="E196" s="74" t="str">
        <f t="shared" si="19"/>
        <v>FK-066Fp</v>
      </c>
      <c r="F196" s="74">
        <f>_xlfn.XLOOKUP(B196,[1]Elevage!A:A,[1]Elevage!B:B)</f>
        <v>46154</v>
      </c>
      <c r="G196" t="str">
        <f t="shared" si="17"/>
        <v>Eco-antibio2</v>
      </c>
      <c r="H196" s="73">
        <f t="shared" si="21"/>
        <v>0</v>
      </c>
      <c r="I196" s="85">
        <v>0</v>
      </c>
      <c r="J196" s="85" t="s">
        <v>966</v>
      </c>
      <c r="K196" s="85">
        <v>0</v>
      </c>
      <c r="L196" s="85" t="s">
        <v>966</v>
      </c>
      <c r="V196" s="127"/>
      <c r="W196" s="127"/>
      <c r="X196" s="127"/>
      <c r="Y196" s="127"/>
      <c r="Z196" s="127"/>
      <c r="AA196" s="127"/>
      <c r="AB196" s="127"/>
      <c r="AC196" s="127"/>
      <c r="AJ196" s="73">
        <v>0</v>
      </c>
    </row>
    <row r="197" spans="1:36" hidden="1" x14ac:dyDescent="0.2">
      <c r="A197" t="s">
        <v>942</v>
      </c>
      <c r="B197" t="str">
        <f t="shared" si="24"/>
        <v>FK-066</v>
      </c>
      <c r="C197" t="s">
        <v>29</v>
      </c>
      <c r="D197" t="s">
        <v>32</v>
      </c>
      <c r="E197" s="2" t="str">
        <f t="shared" si="19"/>
        <v>FK-066Mp</v>
      </c>
      <c r="F197" s="2">
        <f>_xlfn.XLOOKUP(B197,[1]Elevage!A:A,[1]Elevage!B:B)</f>
        <v>46154</v>
      </c>
      <c r="G197" t="str">
        <f t="shared" ref="G197:G240" si="25">G194</f>
        <v>Eco-antibio2</v>
      </c>
      <c r="H197">
        <f t="shared" si="21"/>
        <v>0</v>
      </c>
      <c r="I197" s="84">
        <v>0</v>
      </c>
      <c r="J197" s="84" t="s">
        <v>966</v>
      </c>
      <c r="K197" s="84">
        <v>0</v>
      </c>
      <c r="L197" s="84" t="s">
        <v>966</v>
      </c>
      <c r="AJ197">
        <v>0</v>
      </c>
    </row>
    <row r="198" spans="1:36" hidden="1" x14ac:dyDescent="0.2">
      <c r="A198" t="s">
        <v>942</v>
      </c>
      <c r="B198" t="str">
        <f t="shared" si="24"/>
        <v>FK-066</v>
      </c>
      <c r="C198" t="s">
        <v>31</v>
      </c>
      <c r="D198" t="s">
        <v>30</v>
      </c>
      <c r="E198" s="2" t="str">
        <f t="shared" si="19"/>
        <v>FK-066Fe</v>
      </c>
      <c r="F198" s="2">
        <f>_xlfn.XLOOKUP(B198,[1]Elevage!A:A,[1]Elevage!B:B)</f>
        <v>46154</v>
      </c>
      <c r="G198" t="str">
        <f t="shared" si="25"/>
        <v>Eco-antibio2</v>
      </c>
      <c r="H198">
        <f t="shared" si="21"/>
        <v>0</v>
      </c>
      <c r="I198" s="84">
        <v>0</v>
      </c>
      <c r="J198" s="84" t="s">
        <v>966</v>
      </c>
      <c r="K198" s="84">
        <v>0</v>
      </c>
      <c r="L198" s="84" t="s">
        <v>966</v>
      </c>
      <c r="AJ198">
        <v>0</v>
      </c>
    </row>
    <row r="199" spans="1:36" s="73" customFormat="1" hidden="1" x14ac:dyDescent="0.2">
      <c r="A199" s="73" t="s">
        <v>942</v>
      </c>
      <c r="B199" s="73" t="str">
        <f t="shared" si="24"/>
        <v>FK-067</v>
      </c>
      <c r="C199" s="73" t="s">
        <v>29</v>
      </c>
      <c r="D199" s="73" t="s">
        <v>30</v>
      </c>
      <c r="E199" s="74" t="str">
        <f t="shared" si="19"/>
        <v>FK-067Fp</v>
      </c>
      <c r="F199" s="74">
        <f>_xlfn.XLOOKUP(B199,[1]Elevage!A:A,[1]Elevage!B:B)</f>
        <v>46154</v>
      </c>
      <c r="G199" t="str">
        <f t="shared" si="25"/>
        <v>Eco-antibio2</v>
      </c>
      <c r="H199" s="73">
        <f t="shared" si="21"/>
        <v>0</v>
      </c>
      <c r="I199" s="85">
        <v>0</v>
      </c>
      <c r="J199" s="85" t="s">
        <v>966</v>
      </c>
      <c r="K199" s="85">
        <v>0</v>
      </c>
      <c r="L199" s="85" t="s">
        <v>966</v>
      </c>
      <c r="V199" s="127"/>
      <c r="W199" s="127"/>
      <c r="X199" s="127"/>
      <c r="Y199" s="127"/>
      <c r="Z199" s="127"/>
      <c r="AA199" s="127"/>
      <c r="AB199" s="127"/>
      <c r="AC199" s="127"/>
      <c r="AJ199" s="73">
        <v>0</v>
      </c>
    </row>
    <row r="200" spans="1:36" hidden="1" x14ac:dyDescent="0.2">
      <c r="A200" t="s">
        <v>942</v>
      </c>
      <c r="B200" t="str">
        <f t="shared" si="24"/>
        <v>FK-067</v>
      </c>
      <c r="C200" t="s">
        <v>29</v>
      </c>
      <c r="D200" t="s">
        <v>32</v>
      </c>
      <c r="E200" s="2" t="str">
        <f t="shared" si="19"/>
        <v>FK-067Mp</v>
      </c>
      <c r="F200" s="2">
        <f>_xlfn.XLOOKUP(B200,[1]Elevage!A:A,[1]Elevage!B:B)</f>
        <v>46154</v>
      </c>
      <c r="G200" t="str">
        <f t="shared" si="25"/>
        <v>Eco-antibio2</v>
      </c>
      <c r="H200">
        <f t="shared" si="21"/>
        <v>0</v>
      </c>
      <c r="I200" s="84">
        <v>0</v>
      </c>
      <c r="J200" s="84" t="s">
        <v>966</v>
      </c>
      <c r="K200" s="84">
        <v>0</v>
      </c>
      <c r="L200" s="84" t="s">
        <v>966</v>
      </c>
      <c r="AJ200">
        <v>0</v>
      </c>
    </row>
    <row r="201" spans="1:36" hidden="1" x14ac:dyDescent="0.2">
      <c r="A201" t="s">
        <v>942</v>
      </c>
      <c r="B201" t="str">
        <f t="shared" si="24"/>
        <v>FK-067</v>
      </c>
      <c r="C201" t="s">
        <v>31</v>
      </c>
      <c r="D201" t="s">
        <v>30</v>
      </c>
      <c r="E201" s="2" t="str">
        <f t="shared" si="19"/>
        <v>FK-067Fe</v>
      </c>
      <c r="F201" s="2">
        <f>_xlfn.XLOOKUP(B201,[1]Elevage!A:A,[1]Elevage!B:B)</f>
        <v>46154</v>
      </c>
      <c r="G201" t="str">
        <f t="shared" si="25"/>
        <v>Eco-antibio2</v>
      </c>
      <c r="H201">
        <f t="shared" si="21"/>
        <v>0</v>
      </c>
      <c r="I201" s="84">
        <v>0</v>
      </c>
      <c r="J201" s="84" t="s">
        <v>966</v>
      </c>
      <c r="K201" s="84">
        <v>0</v>
      </c>
      <c r="L201" s="84" t="s">
        <v>966</v>
      </c>
      <c r="AJ201">
        <v>0</v>
      </c>
    </row>
    <row r="202" spans="1:36" s="73" customFormat="1" x14ac:dyDescent="0.2">
      <c r="A202" s="130" t="s">
        <v>942</v>
      </c>
      <c r="B202" s="73" t="str">
        <f t="shared" si="24"/>
        <v>FK-068</v>
      </c>
      <c r="C202" s="73" t="s">
        <v>29</v>
      </c>
      <c r="D202" s="73" t="s">
        <v>30</v>
      </c>
      <c r="E202" s="74" t="str">
        <f t="shared" si="19"/>
        <v>FK-068Fp</v>
      </c>
      <c r="F202" s="74">
        <f>_xlfn.XLOOKUP(B202,[1]Elevage!A:A,[1]Elevage!B:B)</f>
        <v>46154</v>
      </c>
      <c r="G202" t="str">
        <f t="shared" si="25"/>
        <v>Eco-antibio2</v>
      </c>
      <c r="H202" s="73">
        <f t="shared" si="21"/>
        <v>1</v>
      </c>
      <c r="I202" s="85">
        <v>1</v>
      </c>
      <c r="J202" s="85" t="s">
        <v>1204</v>
      </c>
      <c r="K202" s="85">
        <v>0</v>
      </c>
      <c r="L202" s="85" t="s">
        <v>1204</v>
      </c>
      <c r="M202" s="132" t="s">
        <v>1321</v>
      </c>
      <c r="N202" s="113">
        <v>0</v>
      </c>
      <c r="O202" s="95">
        <v>25</v>
      </c>
      <c r="P202" s="113">
        <v>0</v>
      </c>
      <c r="Q202" s="114">
        <v>16</v>
      </c>
      <c r="R202" s="113">
        <v>0</v>
      </c>
      <c r="S202" s="95">
        <v>26</v>
      </c>
      <c r="T202" s="95">
        <v>26</v>
      </c>
      <c r="U202" s="95">
        <v>22</v>
      </c>
      <c r="V202" s="115">
        <v>0</v>
      </c>
      <c r="W202" s="116">
        <v>28</v>
      </c>
      <c r="X202" s="116">
        <v>36</v>
      </c>
      <c r="Y202" s="116">
        <v>32</v>
      </c>
      <c r="Z202" s="116">
        <v>30</v>
      </c>
      <c r="AA202" s="116">
        <v>32</v>
      </c>
      <c r="AB202" s="115">
        <v>0</v>
      </c>
      <c r="AC202" s="115">
        <v>0</v>
      </c>
      <c r="AD202" s="95" t="s">
        <v>1193</v>
      </c>
      <c r="AH202" s="73" t="s">
        <v>1200</v>
      </c>
      <c r="AI202" s="73">
        <v>40</v>
      </c>
      <c r="AJ202" s="121">
        <v>1</v>
      </c>
    </row>
    <row r="203" spans="1:36" x14ac:dyDescent="0.2">
      <c r="A203" t="s">
        <v>942</v>
      </c>
      <c r="B203" t="str">
        <f t="shared" si="24"/>
        <v>FK-068</v>
      </c>
      <c r="C203" t="s">
        <v>29</v>
      </c>
      <c r="D203" t="s">
        <v>32</v>
      </c>
      <c r="E203" s="2" t="str">
        <f t="shared" si="19"/>
        <v>FK-068Mp</v>
      </c>
      <c r="F203" s="2">
        <f>_xlfn.XLOOKUP(B203,[1]Elevage!A:A,[1]Elevage!B:B)</f>
        <v>46154</v>
      </c>
      <c r="G203" t="str">
        <f t="shared" si="25"/>
        <v>Eco-antibio2</v>
      </c>
      <c r="H203">
        <f t="shared" si="21"/>
        <v>0</v>
      </c>
      <c r="I203" s="84">
        <v>0</v>
      </c>
      <c r="J203" s="84" t="s">
        <v>966</v>
      </c>
      <c r="K203" s="84">
        <v>0</v>
      </c>
      <c r="L203" s="84" t="s">
        <v>966</v>
      </c>
      <c r="N203" s="101"/>
      <c r="O203" s="94"/>
      <c r="P203" s="101"/>
      <c r="Q203" s="102"/>
      <c r="R203" s="101"/>
      <c r="S203" s="101"/>
      <c r="T203" s="101"/>
      <c r="U203" s="94"/>
      <c r="V203" s="99"/>
      <c r="W203" s="99"/>
      <c r="X203" s="99"/>
      <c r="Y203" s="100"/>
      <c r="Z203" s="100"/>
      <c r="AA203" s="100"/>
      <c r="AB203" s="100"/>
      <c r="AC203" s="100"/>
      <c r="AD203" s="94"/>
      <c r="AH203" t="s">
        <v>1203</v>
      </c>
      <c r="AI203">
        <v>0</v>
      </c>
      <c r="AJ203" s="122">
        <v>1</v>
      </c>
    </row>
    <row r="204" spans="1:36" x14ac:dyDescent="0.2">
      <c r="A204" t="s">
        <v>942</v>
      </c>
      <c r="B204" t="str">
        <f t="shared" si="24"/>
        <v>FK-068</v>
      </c>
      <c r="C204" t="s">
        <v>31</v>
      </c>
      <c r="D204" t="s">
        <v>30</v>
      </c>
      <c r="E204" s="2" t="str">
        <f t="shared" si="19"/>
        <v>FK-068Fe</v>
      </c>
      <c r="F204" s="2">
        <f>_xlfn.XLOOKUP(B204,[1]Elevage!A:A,[1]Elevage!B:B)</f>
        <v>46154</v>
      </c>
      <c r="G204" t="str">
        <f t="shared" si="25"/>
        <v>Eco-antibio2</v>
      </c>
      <c r="H204">
        <f t="shared" si="21"/>
        <v>0</v>
      </c>
      <c r="I204" s="84">
        <v>0</v>
      </c>
      <c r="J204" s="84" t="s">
        <v>966</v>
      </c>
      <c r="K204" s="84">
        <v>0</v>
      </c>
      <c r="L204" s="84" t="s">
        <v>966</v>
      </c>
      <c r="AJ204" s="122">
        <v>1</v>
      </c>
    </row>
    <row r="205" spans="1:36" s="73" customFormat="1" hidden="1" x14ac:dyDescent="0.2">
      <c r="A205" s="73" t="s">
        <v>942</v>
      </c>
      <c r="B205" s="73" t="str">
        <f t="shared" si="24"/>
        <v>FK-069</v>
      </c>
      <c r="C205" s="73" t="s">
        <v>29</v>
      </c>
      <c r="D205" s="73" t="s">
        <v>30</v>
      </c>
      <c r="E205" s="74" t="str">
        <f t="shared" ref="E205:E222" si="26">B205&amp;IF(D205="charcutier","M",IF(D205="cochette","F",""))&amp;IF(C205="Pédichiffe","p",IF(C205="Ecouvillon","e",IF(C205="Feces","f","")))</f>
        <v>FK-069Fp</v>
      </c>
      <c r="F205" s="74">
        <f>_xlfn.XLOOKUP(B205,[1]Elevage!A:A,[1]Elevage!B:B)</f>
        <v>46154</v>
      </c>
      <c r="G205" t="str">
        <f t="shared" si="25"/>
        <v>Eco-antibio2</v>
      </c>
      <c r="H205" s="73">
        <f t="shared" si="21"/>
        <v>0</v>
      </c>
      <c r="I205" s="85">
        <v>0</v>
      </c>
      <c r="J205" s="85" t="s">
        <v>966</v>
      </c>
      <c r="K205" s="85">
        <v>0</v>
      </c>
      <c r="L205" s="85" t="s">
        <v>966</v>
      </c>
      <c r="AJ205" s="73">
        <v>0</v>
      </c>
    </row>
    <row r="206" spans="1:36" hidden="1" x14ac:dyDescent="0.2">
      <c r="A206" t="s">
        <v>942</v>
      </c>
      <c r="B206" t="str">
        <f t="shared" si="24"/>
        <v>FK-069</v>
      </c>
      <c r="C206" t="s">
        <v>29</v>
      </c>
      <c r="D206" t="s">
        <v>32</v>
      </c>
      <c r="E206" s="2" t="str">
        <f t="shared" si="26"/>
        <v>FK-069Mp</v>
      </c>
      <c r="F206" s="2">
        <f>_xlfn.XLOOKUP(B206,[1]Elevage!A:A,[1]Elevage!B:B)</f>
        <v>46154</v>
      </c>
      <c r="G206" t="str">
        <f t="shared" si="25"/>
        <v>Eco-antibio2</v>
      </c>
      <c r="H206">
        <f t="shared" ref="H206:H250" si="27">IF(AND(I206=0,K206=0),0,1)</f>
        <v>0</v>
      </c>
      <c r="I206" s="84">
        <v>0</v>
      </c>
      <c r="J206" s="84" t="s">
        <v>966</v>
      </c>
      <c r="K206" s="84">
        <v>0</v>
      </c>
      <c r="L206" s="84" t="s">
        <v>966</v>
      </c>
      <c r="AJ206">
        <v>0</v>
      </c>
    </row>
    <row r="207" spans="1:36" hidden="1" x14ac:dyDescent="0.2">
      <c r="A207" t="s">
        <v>942</v>
      </c>
      <c r="B207" t="str">
        <f t="shared" si="24"/>
        <v>FK-069</v>
      </c>
      <c r="C207" t="s">
        <v>31</v>
      </c>
      <c r="D207" t="s">
        <v>30</v>
      </c>
      <c r="E207" s="2" t="str">
        <f t="shared" si="26"/>
        <v>FK-069Fe</v>
      </c>
      <c r="F207" s="2">
        <f>_xlfn.XLOOKUP(B207,[1]Elevage!A:A,[1]Elevage!B:B)</f>
        <v>46154</v>
      </c>
      <c r="G207" t="str">
        <f t="shared" si="25"/>
        <v>Eco-antibio2</v>
      </c>
      <c r="H207">
        <f t="shared" si="27"/>
        <v>0</v>
      </c>
      <c r="I207" s="84">
        <v>0</v>
      </c>
      <c r="J207" s="84" t="s">
        <v>966</v>
      </c>
      <c r="K207" s="84">
        <v>0</v>
      </c>
      <c r="L207" s="84" t="s">
        <v>966</v>
      </c>
      <c r="AJ207">
        <v>0</v>
      </c>
    </row>
    <row r="208" spans="1:36" s="73" customFormat="1" hidden="1" x14ac:dyDescent="0.2">
      <c r="A208" s="73" t="s">
        <v>942</v>
      </c>
      <c r="B208" s="73" t="str">
        <f t="shared" si="24"/>
        <v>FK-070</v>
      </c>
      <c r="C208" s="73" t="s">
        <v>29</v>
      </c>
      <c r="D208" s="73" t="s">
        <v>30</v>
      </c>
      <c r="E208" s="74" t="str">
        <f t="shared" si="26"/>
        <v>FK-070Fp</v>
      </c>
      <c r="F208" s="74">
        <f>_xlfn.XLOOKUP(B208,[1]Elevage!A:A,[1]Elevage!B:B)</f>
        <v>46154</v>
      </c>
      <c r="G208" t="str">
        <f t="shared" si="25"/>
        <v>Eco-antibio2</v>
      </c>
      <c r="H208" s="73">
        <f t="shared" si="27"/>
        <v>0</v>
      </c>
      <c r="I208" s="85">
        <v>0</v>
      </c>
      <c r="J208" s="85" t="s">
        <v>966</v>
      </c>
      <c r="K208" s="85">
        <v>0</v>
      </c>
      <c r="L208" s="85" t="s">
        <v>966</v>
      </c>
      <c r="V208" s="127"/>
      <c r="W208" s="127"/>
      <c r="X208" s="127"/>
      <c r="Y208" s="127"/>
      <c r="Z208" s="127"/>
      <c r="AA208" s="127"/>
      <c r="AB208" s="127"/>
      <c r="AC208" s="127"/>
      <c r="AJ208" s="73">
        <v>0</v>
      </c>
    </row>
    <row r="209" spans="1:36" hidden="1" x14ac:dyDescent="0.2">
      <c r="A209" t="s">
        <v>942</v>
      </c>
      <c r="B209" t="str">
        <f t="shared" si="24"/>
        <v>FK-070</v>
      </c>
      <c r="C209" t="s">
        <v>29</v>
      </c>
      <c r="D209" t="s">
        <v>32</v>
      </c>
      <c r="E209" s="2" t="str">
        <f t="shared" si="26"/>
        <v>FK-070Mp</v>
      </c>
      <c r="F209" s="2">
        <f>_xlfn.XLOOKUP(B209,[1]Elevage!A:A,[1]Elevage!B:B)</f>
        <v>46154</v>
      </c>
      <c r="G209" t="str">
        <f t="shared" si="25"/>
        <v>Eco-antibio2</v>
      </c>
      <c r="H209">
        <f t="shared" si="27"/>
        <v>0</v>
      </c>
      <c r="I209" s="84">
        <v>0</v>
      </c>
      <c r="J209" s="84" t="s">
        <v>966</v>
      </c>
      <c r="K209" s="84">
        <v>0</v>
      </c>
      <c r="L209" s="84" t="s">
        <v>966</v>
      </c>
      <c r="AJ209">
        <v>0</v>
      </c>
    </row>
    <row r="210" spans="1:36" hidden="1" x14ac:dyDescent="0.2">
      <c r="A210" t="s">
        <v>942</v>
      </c>
      <c r="B210" t="str">
        <f t="shared" si="24"/>
        <v>FK-070</v>
      </c>
      <c r="C210" t="s">
        <v>31</v>
      </c>
      <c r="D210" t="s">
        <v>30</v>
      </c>
      <c r="E210" s="2" t="str">
        <f t="shared" si="26"/>
        <v>FK-070Fe</v>
      </c>
      <c r="F210" s="2">
        <f>_xlfn.XLOOKUP(B210,[1]Elevage!A:A,[1]Elevage!B:B)</f>
        <v>46154</v>
      </c>
      <c r="G210" t="str">
        <f t="shared" si="25"/>
        <v>Eco-antibio2</v>
      </c>
      <c r="H210">
        <f t="shared" si="27"/>
        <v>0</v>
      </c>
      <c r="I210" s="84">
        <v>0</v>
      </c>
      <c r="J210" s="84" t="s">
        <v>966</v>
      </c>
      <c r="K210" s="84">
        <v>0</v>
      </c>
      <c r="L210" s="84" t="s">
        <v>966</v>
      </c>
      <c r="AJ210">
        <v>0</v>
      </c>
    </row>
    <row r="211" spans="1:36" s="73" customFormat="1" hidden="1" x14ac:dyDescent="0.2">
      <c r="A211" s="73" t="s">
        <v>942</v>
      </c>
      <c r="B211" s="73" t="str">
        <f t="shared" si="24"/>
        <v>FK-071</v>
      </c>
      <c r="C211" s="73" t="s">
        <v>29</v>
      </c>
      <c r="D211" s="73" t="s">
        <v>30</v>
      </c>
      <c r="E211" s="74" t="str">
        <f t="shared" si="26"/>
        <v>FK-071Fp</v>
      </c>
      <c r="F211" s="74">
        <f>_xlfn.XLOOKUP(B211,[1]Elevage!A:A,[1]Elevage!B:B)</f>
        <v>46154</v>
      </c>
      <c r="G211" t="str">
        <f t="shared" si="25"/>
        <v>Eco-antibio2</v>
      </c>
      <c r="H211" s="73">
        <f t="shared" si="27"/>
        <v>0</v>
      </c>
      <c r="I211" s="85">
        <v>0</v>
      </c>
      <c r="J211" s="85" t="s">
        <v>966</v>
      </c>
      <c r="K211" s="85">
        <v>0</v>
      </c>
      <c r="L211" s="85" t="s">
        <v>966</v>
      </c>
      <c r="V211" s="127"/>
      <c r="W211" s="127"/>
      <c r="X211" s="127"/>
      <c r="Y211" s="127"/>
      <c r="Z211" s="127"/>
      <c r="AA211" s="127"/>
      <c r="AB211" s="127"/>
      <c r="AC211" s="127"/>
      <c r="AJ211" s="73">
        <v>0</v>
      </c>
    </row>
    <row r="212" spans="1:36" hidden="1" x14ac:dyDescent="0.2">
      <c r="A212" t="s">
        <v>942</v>
      </c>
      <c r="B212" t="str">
        <f t="shared" si="24"/>
        <v>FK-071</v>
      </c>
      <c r="C212" t="s">
        <v>29</v>
      </c>
      <c r="D212" t="s">
        <v>32</v>
      </c>
      <c r="E212" s="2" t="str">
        <f t="shared" si="26"/>
        <v>FK-071Mp</v>
      </c>
      <c r="F212" s="2">
        <f>_xlfn.XLOOKUP(B212,[1]Elevage!A:A,[1]Elevage!B:B)</f>
        <v>46154</v>
      </c>
      <c r="G212" t="str">
        <f t="shared" si="25"/>
        <v>Eco-antibio2</v>
      </c>
      <c r="H212">
        <f t="shared" si="27"/>
        <v>0</v>
      </c>
      <c r="I212" s="84">
        <v>0</v>
      </c>
      <c r="J212" s="84" t="s">
        <v>966</v>
      </c>
      <c r="K212" s="84">
        <v>0</v>
      </c>
      <c r="L212" s="84" t="s">
        <v>966</v>
      </c>
      <c r="AJ212">
        <v>0</v>
      </c>
    </row>
    <row r="213" spans="1:36" hidden="1" x14ac:dyDescent="0.2">
      <c r="A213" t="s">
        <v>942</v>
      </c>
      <c r="B213" t="str">
        <f t="shared" si="24"/>
        <v>FK-071</v>
      </c>
      <c r="C213" t="s">
        <v>31</v>
      </c>
      <c r="D213" t="s">
        <v>30</v>
      </c>
      <c r="E213" s="2" t="str">
        <f t="shared" si="26"/>
        <v>FK-071Fe</v>
      </c>
      <c r="F213" s="2">
        <f>_xlfn.XLOOKUP(B213,[1]Elevage!A:A,[1]Elevage!B:B)</f>
        <v>46154</v>
      </c>
      <c r="G213" t="str">
        <f t="shared" si="25"/>
        <v>Eco-antibio2</v>
      </c>
      <c r="H213">
        <f t="shared" si="27"/>
        <v>0</v>
      </c>
      <c r="I213" s="84">
        <v>0</v>
      </c>
      <c r="J213" s="84" t="s">
        <v>966</v>
      </c>
      <c r="K213" s="84">
        <v>0</v>
      </c>
      <c r="L213" s="84" t="s">
        <v>966</v>
      </c>
      <c r="AJ213">
        <v>0</v>
      </c>
    </row>
    <row r="214" spans="1:36" s="73" customFormat="1" hidden="1" x14ac:dyDescent="0.2">
      <c r="A214" s="73" t="s">
        <v>942</v>
      </c>
      <c r="B214" s="73" t="str">
        <f t="shared" si="24"/>
        <v>FK-072</v>
      </c>
      <c r="C214" s="73" t="s">
        <v>29</v>
      </c>
      <c r="D214" s="73" t="s">
        <v>30</v>
      </c>
      <c r="E214" s="74" t="str">
        <f t="shared" si="26"/>
        <v>FK-072Fp</v>
      </c>
      <c r="F214" s="74">
        <f>_xlfn.XLOOKUP(B214,[1]Elevage!A:A,[1]Elevage!B:B)</f>
        <v>46155</v>
      </c>
      <c r="G214" t="str">
        <f t="shared" si="25"/>
        <v>Eco-antibio2</v>
      </c>
      <c r="H214" s="73">
        <f t="shared" si="27"/>
        <v>0</v>
      </c>
      <c r="I214" s="85">
        <v>0</v>
      </c>
      <c r="J214" s="85" t="s">
        <v>966</v>
      </c>
      <c r="K214" s="85">
        <v>0</v>
      </c>
      <c r="L214" s="85" t="s">
        <v>966</v>
      </c>
      <c r="V214" s="127"/>
      <c r="W214" s="127"/>
      <c r="X214" s="127"/>
      <c r="Y214" s="127"/>
      <c r="Z214" s="127"/>
      <c r="AA214" s="127"/>
      <c r="AB214" s="127"/>
      <c r="AC214" s="127"/>
      <c r="AJ214" s="73">
        <v>0</v>
      </c>
    </row>
    <row r="215" spans="1:36" hidden="1" x14ac:dyDescent="0.2">
      <c r="A215" t="s">
        <v>942</v>
      </c>
      <c r="B215" t="str">
        <f t="shared" si="24"/>
        <v>FK-072</v>
      </c>
      <c r="C215" t="s">
        <v>29</v>
      </c>
      <c r="D215" t="s">
        <v>32</v>
      </c>
      <c r="E215" s="2" t="str">
        <f t="shared" si="26"/>
        <v>FK-072Mp</v>
      </c>
      <c r="F215" s="2">
        <f>_xlfn.XLOOKUP(B215,[1]Elevage!A:A,[1]Elevage!B:B)</f>
        <v>46155</v>
      </c>
      <c r="G215" t="str">
        <f t="shared" si="25"/>
        <v>Eco-antibio2</v>
      </c>
      <c r="H215">
        <f t="shared" si="27"/>
        <v>0</v>
      </c>
      <c r="I215" s="84">
        <v>0</v>
      </c>
      <c r="J215" s="84" t="s">
        <v>966</v>
      </c>
      <c r="K215" s="84">
        <v>0</v>
      </c>
      <c r="L215" s="84" t="s">
        <v>966</v>
      </c>
      <c r="AJ215">
        <v>0</v>
      </c>
    </row>
    <row r="216" spans="1:36" hidden="1" x14ac:dyDescent="0.2">
      <c r="A216" t="s">
        <v>942</v>
      </c>
      <c r="B216" t="str">
        <f t="shared" si="24"/>
        <v>FK-072</v>
      </c>
      <c r="C216" t="s">
        <v>31</v>
      </c>
      <c r="D216" t="s">
        <v>30</v>
      </c>
      <c r="E216" s="2" t="str">
        <f t="shared" si="26"/>
        <v>FK-072Fe</v>
      </c>
      <c r="F216" s="2">
        <f>_xlfn.XLOOKUP(B216,[1]Elevage!A:A,[1]Elevage!B:B)</f>
        <v>46155</v>
      </c>
      <c r="G216" t="str">
        <f t="shared" si="25"/>
        <v>Eco-antibio2</v>
      </c>
      <c r="H216">
        <f t="shared" si="27"/>
        <v>0</v>
      </c>
      <c r="I216" s="84">
        <v>0</v>
      </c>
      <c r="J216" s="84" t="s">
        <v>966</v>
      </c>
      <c r="K216" s="84">
        <v>0</v>
      </c>
      <c r="L216" s="84" t="s">
        <v>966</v>
      </c>
      <c r="AJ216">
        <v>0</v>
      </c>
    </row>
    <row r="217" spans="1:36" s="73" customFormat="1" hidden="1" x14ac:dyDescent="0.2">
      <c r="A217" s="73" t="s">
        <v>942</v>
      </c>
      <c r="B217" s="73" t="str">
        <f t="shared" si="24"/>
        <v>FK-073</v>
      </c>
      <c r="C217" s="73" t="s">
        <v>29</v>
      </c>
      <c r="D217" s="73" t="s">
        <v>30</v>
      </c>
      <c r="E217" s="74" t="str">
        <f t="shared" si="26"/>
        <v>FK-073Fp</v>
      </c>
      <c r="F217" s="74">
        <f>_xlfn.XLOOKUP(B217,[1]Elevage!A:A,[1]Elevage!B:B)</f>
        <v>46155</v>
      </c>
      <c r="G217" t="str">
        <f t="shared" si="25"/>
        <v>Eco-antibio2</v>
      </c>
      <c r="H217" s="73">
        <f t="shared" si="27"/>
        <v>0</v>
      </c>
      <c r="I217" s="85">
        <v>0</v>
      </c>
      <c r="J217" s="85" t="s">
        <v>966</v>
      </c>
      <c r="K217" s="85">
        <v>0</v>
      </c>
      <c r="L217" s="85" t="s">
        <v>966</v>
      </c>
      <c r="V217" s="127"/>
      <c r="W217" s="127"/>
      <c r="X217" s="127"/>
      <c r="Y217" s="127"/>
      <c r="Z217" s="127"/>
      <c r="AA217" s="127"/>
      <c r="AB217" s="127"/>
      <c r="AC217" s="127"/>
      <c r="AJ217" s="73">
        <v>0</v>
      </c>
    </row>
    <row r="218" spans="1:36" hidden="1" x14ac:dyDescent="0.2">
      <c r="A218" t="s">
        <v>942</v>
      </c>
      <c r="B218" t="str">
        <f t="shared" si="24"/>
        <v>FK-073</v>
      </c>
      <c r="C218" t="s">
        <v>29</v>
      </c>
      <c r="D218" t="s">
        <v>32</v>
      </c>
      <c r="E218" s="2" t="str">
        <f t="shared" si="26"/>
        <v>FK-073Mp</v>
      </c>
      <c r="F218" s="2">
        <f>_xlfn.XLOOKUP(B218,[1]Elevage!A:A,[1]Elevage!B:B)</f>
        <v>46155</v>
      </c>
      <c r="G218" t="str">
        <f t="shared" si="25"/>
        <v>Eco-antibio2</v>
      </c>
      <c r="H218">
        <f t="shared" si="27"/>
        <v>0</v>
      </c>
      <c r="I218" s="84">
        <v>0</v>
      </c>
      <c r="J218" s="84" t="s">
        <v>966</v>
      </c>
      <c r="K218" s="84">
        <v>0</v>
      </c>
      <c r="L218" s="84" t="s">
        <v>966</v>
      </c>
      <c r="AJ218">
        <v>0</v>
      </c>
    </row>
    <row r="219" spans="1:36" hidden="1" x14ac:dyDescent="0.2">
      <c r="A219" t="s">
        <v>942</v>
      </c>
      <c r="B219" t="str">
        <f t="shared" si="24"/>
        <v>FK-073</v>
      </c>
      <c r="C219" t="s">
        <v>31</v>
      </c>
      <c r="D219" t="s">
        <v>30</v>
      </c>
      <c r="E219" s="2" t="str">
        <f t="shared" si="26"/>
        <v>FK-073Fe</v>
      </c>
      <c r="F219" s="2">
        <f>_xlfn.XLOOKUP(B219,[1]Elevage!A:A,[1]Elevage!B:B)</f>
        <v>46155</v>
      </c>
      <c r="G219" t="str">
        <f t="shared" si="25"/>
        <v>Eco-antibio2</v>
      </c>
      <c r="H219">
        <f t="shared" si="27"/>
        <v>0</v>
      </c>
      <c r="I219" s="84">
        <v>0</v>
      </c>
      <c r="J219" s="84" t="s">
        <v>966</v>
      </c>
      <c r="K219" s="84">
        <v>0</v>
      </c>
      <c r="L219" s="84" t="s">
        <v>966</v>
      </c>
      <c r="AJ219">
        <v>0</v>
      </c>
    </row>
    <row r="220" spans="1:36" s="73" customFormat="1" hidden="1" x14ac:dyDescent="0.2">
      <c r="A220" s="73" t="s">
        <v>942</v>
      </c>
      <c r="B220" s="73" t="str">
        <f t="shared" si="24"/>
        <v>FK-074</v>
      </c>
      <c r="C220" s="73" t="s">
        <v>29</v>
      </c>
      <c r="D220" s="73" t="s">
        <v>30</v>
      </c>
      <c r="E220" s="74" t="str">
        <f t="shared" si="26"/>
        <v>FK-074Fp</v>
      </c>
      <c r="F220" s="74">
        <f>_xlfn.XLOOKUP(B220,[1]Elevage!A:A,[1]Elevage!B:B)</f>
        <v>46155</v>
      </c>
      <c r="G220" t="str">
        <f t="shared" si="25"/>
        <v>Eco-antibio2</v>
      </c>
      <c r="H220" s="73">
        <f t="shared" si="27"/>
        <v>0</v>
      </c>
      <c r="I220" s="85">
        <v>0</v>
      </c>
      <c r="J220" s="85" t="s">
        <v>966</v>
      </c>
      <c r="K220" s="85">
        <v>0</v>
      </c>
      <c r="L220" s="85" t="s">
        <v>966</v>
      </c>
      <c r="V220" s="127"/>
      <c r="W220" s="127"/>
      <c r="X220" s="127"/>
      <c r="Y220" s="127"/>
      <c r="Z220" s="127"/>
      <c r="AA220" s="127"/>
      <c r="AB220" s="127"/>
      <c r="AC220" s="127"/>
      <c r="AJ220" s="73">
        <v>0</v>
      </c>
    </row>
    <row r="221" spans="1:36" hidden="1" x14ac:dyDescent="0.2">
      <c r="A221" t="s">
        <v>942</v>
      </c>
      <c r="B221" t="str">
        <f t="shared" si="24"/>
        <v>FK-074</v>
      </c>
      <c r="C221" t="s">
        <v>29</v>
      </c>
      <c r="D221" t="s">
        <v>32</v>
      </c>
      <c r="E221" s="2" t="str">
        <f t="shared" si="26"/>
        <v>FK-074Mp</v>
      </c>
      <c r="F221" s="2">
        <f>_xlfn.XLOOKUP(B221,[1]Elevage!A:A,[1]Elevage!B:B)</f>
        <v>46155</v>
      </c>
      <c r="G221" t="str">
        <f t="shared" si="25"/>
        <v>Eco-antibio2</v>
      </c>
      <c r="H221">
        <f t="shared" si="27"/>
        <v>0</v>
      </c>
      <c r="I221" s="84">
        <v>0</v>
      </c>
      <c r="J221" s="84" t="s">
        <v>966</v>
      </c>
      <c r="K221" s="84">
        <v>0</v>
      </c>
      <c r="L221" s="84" t="s">
        <v>966</v>
      </c>
      <c r="AJ221">
        <v>0</v>
      </c>
    </row>
    <row r="222" spans="1:36" hidden="1" x14ac:dyDescent="0.2">
      <c r="A222" t="s">
        <v>942</v>
      </c>
      <c r="B222" t="str">
        <f t="shared" si="24"/>
        <v>FK-074</v>
      </c>
      <c r="C222" t="s">
        <v>31</v>
      </c>
      <c r="D222" t="s">
        <v>30</v>
      </c>
      <c r="E222" s="2" t="str">
        <f t="shared" si="26"/>
        <v>FK-074Fe</v>
      </c>
      <c r="F222" s="2">
        <f>_xlfn.XLOOKUP(B222,[1]Elevage!A:A,[1]Elevage!B:B)</f>
        <v>46155</v>
      </c>
      <c r="G222" t="str">
        <f t="shared" si="25"/>
        <v>Eco-antibio2</v>
      </c>
      <c r="H222">
        <f t="shared" si="27"/>
        <v>0</v>
      </c>
      <c r="I222" s="84">
        <v>0</v>
      </c>
      <c r="J222" s="84" t="s">
        <v>966</v>
      </c>
      <c r="K222" s="84">
        <v>0</v>
      </c>
      <c r="L222" s="84" t="s">
        <v>966</v>
      </c>
      <c r="AJ222">
        <v>0</v>
      </c>
    </row>
    <row r="223" spans="1:36" s="73" customFormat="1" hidden="1" x14ac:dyDescent="0.2">
      <c r="A223" s="73" t="s">
        <v>942</v>
      </c>
      <c r="B223" s="73" t="s">
        <v>1031</v>
      </c>
      <c r="C223" s="73" t="s">
        <v>1201</v>
      </c>
      <c r="D223" s="73" t="s">
        <v>32</v>
      </c>
      <c r="E223" s="74" t="str">
        <f>B223&amp;IF(D223="charcutier","M",IF(D223="cochette","F",""))&amp;IF(C223="Pédichiffe","p",IF(C223="Ecouvillon","e",IF(C223="Fecès","fe","")))</f>
        <v>FK-075Mfe</v>
      </c>
      <c r="F223" s="74">
        <f>_xlfn.XLOOKUP(B223,[1]Elevage!A:A,[1]Elevage!B:B)</f>
        <v>46141</v>
      </c>
      <c r="G223" t="e">
        <f>#REF!</f>
        <v>#REF!</v>
      </c>
      <c r="H223" s="73">
        <f t="shared" si="27"/>
        <v>0</v>
      </c>
      <c r="I223" s="85">
        <v>0</v>
      </c>
      <c r="J223" s="85" t="s">
        <v>966</v>
      </c>
      <c r="K223" s="85">
        <v>0</v>
      </c>
      <c r="L223" s="85" t="s">
        <v>966</v>
      </c>
      <c r="V223" s="127"/>
      <c r="W223" s="127"/>
      <c r="X223" s="127"/>
      <c r="Y223" s="127"/>
      <c r="Z223" s="127"/>
      <c r="AA223" s="127"/>
      <c r="AB223" s="127"/>
      <c r="AC223" s="127"/>
      <c r="AJ223" s="73">
        <v>0</v>
      </c>
    </row>
    <row r="224" spans="1:36" hidden="1" x14ac:dyDescent="0.2">
      <c r="A224" t="s">
        <v>942</v>
      </c>
      <c r="B224" t="s">
        <v>1031</v>
      </c>
      <c r="C224" t="s">
        <v>1201</v>
      </c>
      <c r="D224" t="s">
        <v>30</v>
      </c>
      <c r="E224" s="2" t="str">
        <f t="shared" ref="E224:E250" si="28">B224&amp;IF(D224="charcutier","M",IF(D224="cochette","F",""))&amp;IF(C224="Pédichiffe","p",IF(C224="Ecouvillon","e",IF(C224="Fecès","fe","")))</f>
        <v>FK-075Ffe</v>
      </c>
      <c r="F224" s="2">
        <f>_xlfn.XLOOKUP(B224,[1]Elevage!A:A,[1]Elevage!B:B)</f>
        <v>46141</v>
      </c>
      <c r="G224" t="e">
        <f>#REF!</f>
        <v>#REF!</v>
      </c>
      <c r="H224">
        <f t="shared" si="27"/>
        <v>0</v>
      </c>
      <c r="I224" s="84">
        <v>0</v>
      </c>
      <c r="J224" s="84" t="s">
        <v>966</v>
      </c>
      <c r="K224" s="84">
        <v>0</v>
      </c>
      <c r="L224" s="84" t="s">
        <v>966</v>
      </c>
      <c r="AJ224" s="90">
        <v>0</v>
      </c>
    </row>
    <row r="225" spans="1:36" s="73" customFormat="1" hidden="1" x14ac:dyDescent="0.2">
      <c r="A225" s="73" t="s">
        <v>942</v>
      </c>
      <c r="B225" s="73" t="s">
        <v>1032</v>
      </c>
      <c r="C225" s="73" t="s">
        <v>1201</v>
      </c>
      <c r="D225" s="73" t="s">
        <v>32</v>
      </c>
      <c r="E225" s="74" t="str">
        <f t="shared" si="28"/>
        <v>FK-076Mfe</v>
      </c>
      <c r="F225" s="74">
        <f>_xlfn.XLOOKUP(B225,[1]Elevage!A:A,[1]Elevage!B:B)</f>
        <v>46141</v>
      </c>
      <c r="G225" t="e">
        <f>#REF!</f>
        <v>#REF!</v>
      </c>
      <c r="H225" s="73">
        <f t="shared" si="27"/>
        <v>0</v>
      </c>
      <c r="I225" s="85">
        <v>0</v>
      </c>
      <c r="J225" s="85" t="s">
        <v>966</v>
      </c>
      <c r="K225" s="85">
        <v>0</v>
      </c>
      <c r="L225" s="85" t="s">
        <v>966</v>
      </c>
      <c r="V225" s="127"/>
      <c r="W225" s="127"/>
      <c r="X225" s="127"/>
      <c r="Y225" s="127"/>
      <c r="Z225" s="127"/>
      <c r="AA225" s="127"/>
      <c r="AB225" s="127"/>
      <c r="AC225" s="127"/>
      <c r="AJ225" s="73">
        <v>0</v>
      </c>
    </row>
    <row r="226" spans="1:36" hidden="1" x14ac:dyDescent="0.2">
      <c r="A226" t="s">
        <v>942</v>
      </c>
      <c r="B226" t="str">
        <f t="shared" ref="B226:B229" si="29">"FK-"&amp;TEXT(44+INT((ROW()-127)/3),"000")</f>
        <v>FK-077</v>
      </c>
      <c r="C226" t="s">
        <v>1201</v>
      </c>
      <c r="D226" t="s">
        <v>30</v>
      </c>
      <c r="E226" s="2" t="str">
        <f t="shared" si="28"/>
        <v>FK-077Ffe</v>
      </c>
      <c r="F226" s="2">
        <f>_xlfn.XLOOKUP(B226,[1]Elevage!A:A,[1]Elevage!B:B)</f>
        <v>46148</v>
      </c>
      <c r="G226" t="e">
        <f t="shared" si="25"/>
        <v>#REF!</v>
      </c>
      <c r="H226">
        <f t="shared" si="27"/>
        <v>0</v>
      </c>
      <c r="I226" s="84">
        <v>0</v>
      </c>
      <c r="J226" s="84" t="s">
        <v>966</v>
      </c>
      <c r="K226" s="84">
        <v>0</v>
      </c>
      <c r="L226" s="84" t="s">
        <v>966</v>
      </c>
      <c r="AJ226" s="90">
        <v>0</v>
      </c>
    </row>
    <row r="227" spans="1:36" s="73" customFormat="1" hidden="1" x14ac:dyDescent="0.2">
      <c r="A227" s="73" t="s">
        <v>1176</v>
      </c>
      <c r="B227" s="73" t="s">
        <v>1033</v>
      </c>
      <c r="C227" s="73" t="s">
        <v>29</v>
      </c>
      <c r="D227" s="73" t="s">
        <v>30</v>
      </c>
      <c r="E227" s="74" t="str">
        <f t="shared" si="28"/>
        <v>FK-077Fp</v>
      </c>
      <c r="F227" s="74">
        <f>_xlfn.XLOOKUP(B227,[1]Elevage!A:A,[1]Elevage!B:B)</f>
        <v>46148</v>
      </c>
      <c r="G227" t="e">
        <f t="shared" si="25"/>
        <v>#REF!</v>
      </c>
      <c r="H227" s="73">
        <f t="shared" si="27"/>
        <v>0</v>
      </c>
      <c r="I227" s="85">
        <v>0</v>
      </c>
      <c r="J227" s="85" t="s">
        <v>966</v>
      </c>
      <c r="K227" s="85">
        <v>0</v>
      </c>
      <c r="L227" s="85" t="s">
        <v>966</v>
      </c>
      <c r="N227" s="113"/>
      <c r="O227" s="95"/>
      <c r="P227" s="113"/>
      <c r="Q227" s="114"/>
      <c r="R227" s="95"/>
      <c r="S227" s="113"/>
      <c r="T227" s="113"/>
      <c r="U227" s="95"/>
      <c r="V227" s="116"/>
      <c r="W227" s="115"/>
      <c r="X227" s="116"/>
      <c r="Y227" s="116"/>
      <c r="Z227" s="116"/>
      <c r="AA227" s="116"/>
      <c r="AB227" s="116"/>
      <c r="AC227" s="116"/>
      <c r="AH227" s="73" t="s">
        <v>1203</v>
      </c>
      <c r="AI227" s="73">
        <v>0</v>
      </c>
      <c r="AJ227" s="121">
        <v>0</v>
      </c>
    </row>
    <row r="228" spans="1:36" hidden="1" x14ac:dyDescent="0.2">
      <c r="A228" t="s">
        <v>1176</v>
      </c>
      <c r="B228" t="s">
        <v>1033</v>
      </c>
      <c r="C228" t="s">
        <v>29</v>
      </c>
      <c r="D228" t="s">
        <v>32</v>
      </c>
      <c r="E228" s="2" t="str">
        <f t="shared" si="28"/>
        <v>FK-077Mp</v>
      </c>
      <c r="F228" s="2">
        <f>_xlfn.XLOOKUP(B228,[1]Elevage!A:A,[1]Elevage!B:B)</f>
        <v>46148</v>
      </c>
      <c r="G228" t="e">
        <f t="shared" si="25"/>
        <v>#REF!</v>
      </c>
      <c r="H228">
        <f t="shared" si="27"/>
        <v>0</v>
      </c>
      <c r="I228" s="84">
        <v>0</v>
      </c>
      <c r="J228" s="84" t="s">
        <v>966</v>
      </c>
      <c r="K228" s="84">
        <v>0</v>
      </c>
      <c r="L228" s="84" t="s">
        <v>966</v>
      </c>
      <c r="N228" s="94"/>
      <c r="O228" s="94"/>
      <c r="P228" s="94"/>
      <c r="Q228" s="102"/>
      <c r="R228" s="101"/>
      <c r="S228" s="94"/>
      <c r="T228" s="101"/>
      <c r="U228" s="94"/>
      <c r="V228" s="100"/>
      <c r="W228" s="103"/>
      <c r="X228" s="99"/>
      <c r="Y228" s="100"/>
      <c r="Z228" s="100"/>
      <c r="AA228" s="100"/>
      <c r="AB228" s="100"/>
      <c r="AC228" s="100"/>
      <c r="AH228" t="s">
        <v>1203</v>
      </c>
      <c r="AI228">
        <v>0</v>
      </c>
      <c r="AJ228" s="122">
        <v>0</v>
      </c>
    </row>
    <row r="229" spans="1:36" hidden="1" x14ac:dyDescent="0.2">
      <c r="A229" t="s">
        <v>1176</v>
      </c>
      <c r="B229" t="str">
        <f t="shared" si="29"/>
        <v>FK-078</v>
      </c>
      <c r="C229" t="s">
        <v>31</v>
      </c>
      <c r="D229" t="s">
        <v>30</v>
      </c>
      <c r="E229" s="2" t="str">
        <f t="shared" si="28"/>
        <v>FK-078Fe</v>
      </c>
      <c r="F229" s="2">
        <f>_xlfn.XLOOKUP(B229,[1]Elevage!A:A,[1]Elevage!B:B)</f>
        <v>46157</v>
      </c>
      <c r="G229" t="e">
        <f t="shared" si="25"/>
        <v>#REF!</v>
      </c>
      <c r="H229">
        <f t="shared" si="27"/>
        <v>0</v>
      </c>
      <c r="I229" s="84">
        <v>0</v>
      </c>
      <c r="J229" s="84" t="s">
        <v>966</v>
      </c>
      <c r="K229" s="84">
        <v>0</v>
      </c>
      <c r="L229" s="84" t="s">
        <v>966</v>
      </c>
      <c r="AJ229" s="122">
        <v>0</v>
      </c>
    </row>
    <row r="230" spans="1:36" s="73" customFormat="1" x14ac:dyDescent="0.2">
      <c r="A230" s="117" t="s">
        <v>1176</v>
      </c>
      <c r="B230" s="73" t="s">
        <v>1034</v>
      </c>
      <c r="C230" s="73" t="s">
        <v>1201</v>
      </c>
      <c r="D230" s="73" t="s">
        <v>32</v>
      </c>
      <c r="E230" s="74" t="str">
        <f t="shared" si="28"/>
        <v>FK-078Mfe</v>
      </c>
      <c r="F230" s="74">
        <f>_xlfn.XLOOKUP(B230,[1]Elevage!A:A,[1]Elevage!B:B)</f>
        <v>46157</v>
      </c>
      <c r="G230" t="e">
        <f t="shared" si="25"/>
        <v>#REF!</v>
      </c>
      <c r="H230" s="73">
        <f t="shared" ref="H230" si="30">IF(AND(I230=0,K230=0),0,1)</f>
        <v>1</v>
      </c>
      <c r="I230" s="85">
        <v>1</v>
      </c>
      <c r="J230" s="85" t="s">
        <v>1204</v>
      </c>
      <c r="K230" s="85">
        <v>0</v>
      </c>
      <c r="L230" s="85" t="s">
        <v>966</v>
      </c>
      <c r="M230" s="132" t="s">
        <v>1323</v>
      </c>
      <c r="N230" s="113">
        <v>0</v>
      </c>
      <c r="O230" s="95">
        <v>25</v>
      </c>
      <c r="P230" s="113">
        <v>0</v>
      </c>
      <c r="Q230" s="114">
        <v>15</v>
      </c>
      <c r="R230" s="113">
        <v>0</v>
      </c>
      <c r="S230" s="95">
        <v>25</v>
      </c>
      <c r="T230" s="114">
        <v>19</v>
      </c>
      <c r="U230" s="95">
        <v>22</v>
      </c>
      <c r="V230" s="115">
        <v>0</v>
      </c>
      <c r="W230" s="118">
        <v>23</v>
      </c>
      <c r="X230" s="116">
        <v>35</v>
      </c>
      <c r="Y230" s="116">
        <v>32</v>
      </c>
      <c r="Z230" s="116">
        <v>26</v>
      </c>
      <c r="AA230" s="116">
        <v>27</v>
      </c>
      <c r="AB230" s="116">
        <v>33</v>
      </c>
      <c r="AC230" s="116">
        <v>25</v>
      </c>
      <c r="AH230" s="73" t="s">
        <v>1333</v>
      </c>
      <c r="AI230" s="73">
        <v>50</v>
      </c>
      <c r="AJ230" s="121">
        <v>1</v>
      </c>
    </row>
    <row r="231" spans="1:36" x14ac:dyDescent="0.2">
      <c r="A231" s="106" t="s">
        <v>1176</v>
      </c>
      <c r="B231" t="s">
        <v>1034</v>
      </c>
      <c r="C231" t="s">
        <v>1201</v>
      </c>
      <c r="D231" t="s">
        <v>32</v>
      </c>
      <c r="E231" s="2" t="str">
        <f t="shared" si="28"/>
        <v>FK-078Mfe</v>
      </c>
      <c r="F231" s="2">
        <f>_xlfn.XLOOKUP(B231,[1]Elevage!A:A,[1]Elevage!B:B)</f>
        <v>46157</v>
      </c>
      <c r="G231" t="e">
        <f t="shared" si="25"/>
        <v>#REF!</v>
      </c>
      <c r="H231">
        <f t="shared" si="27"/>
        <v>1</v>
      </c>
      <c r="I231" s="84">
        <v>1</v>
      </c>
      <c r="J231" s="84" t="s">
        <v>1204</v>
      </c>
      <c r="K231" s="84">
        <v>0</v>
      </c>
      <c r="L231" s="84" t="s">
        <v>966</v>
      </c>
      <c r="M231" s="132" t="s">
        <v>1635</v>
      </c>
      <c r="N231" s="101">
        <v>0</v>
      </c>
      <c r="O231" s="94">
        <v>23</v>
      </c>
      <c r="P231" s="101">
        <v>0</v>
      </c>
      <c r="Q231" s="102">
        <v>15</v>
      </c>
      <c r="R231" s="101">
        <v>0</v>
      </c>
      <c r="S231" s="94">
        <v>24</v>
      </c>
      <c r="T231" s="101">
        <v>18</v>
      </c>
      <c r="U231" s="94">
        <v>23</v>
      </c>
      <c r="V231" s="99">
        <v>0</v>
      </c>
      <c r="W231" s="103">
        <v>23</v>
      </c>
      <c r="X231" s="100">
        <v>34</v>
      </c>
      <c r="Y231" s="100">
        <v>32</v>
      </c>
      <c r="Z231" s="103">
        <v>22</v>
      </c>
      <c r="AA231" s="103">
        <v>24</v>
      </c>
      <c r="AB231" s="99">
        <v>0</v>
      </c>
      <c r="AC231" s="100">
        <v>25</v>
      </c>
      <c r="AH231" t="s">
        <v>1198</v>
      </c>
      <c r="AI231">
        <v>0</v>
      </c>
      <c r="AJ231" s="122">
        <v>1</v>
      </c>
    </row>
    <row r="232" spans="1:36" x14ac:dyDescent="0.2">
      <c r="A232" t="s">
        <v>1176</v>
      </c>
      <c r="B232" t="s">
        <v>1034</v>
      </c>
      <c r="C232" t="s">
        <v>1201</v>
      </c>
      <c r="D232" t="s">
        <v>30</v>
      </c>
      <c r="E232" s="2" t="str">
        <f t="shared" si="28"/>
        <v>FK-078Ffe</v>
      </c>
      <c r="F232" s="2">
        <f>_xlfn.XLOOKUP(B232,[1]Elevage!A:A,[1]Elevage!B:B)</f>
        <v>46157</v>
      </c>
      <c r="G232" t="e">
        <f t="shared" si="25"/>
        <v>#REF!</v>
      </c>
      <c r="H232">
        <f t="shared" si="27"/>
        <v>0</v>
      </c>
      <c r="I232" s="84">
        <v>0</v>
      </c>
      <c r="J232" s="84" t="s">
        <v>966</v>
      </c>
      <c r="K232" s="84">
        <v>0</v>
      </c>
      <c r="L232" s="84" t="s">
        <v>966</v>
      </c>
      <c r="AJ232" s="122">
        <v>1</v>
      </c>
    </row>
    <row r="233" spans="1:36" s="73" customFormat="1" x14ac:dyDescent="0.2">
      <c r="A233" s="73" t="s">
        <v>1176</v>
      </c>
      <c r="B233" s="73" t="s">
        <v>1035</v>
      </c>
      <c r="C233" s="73" t="s">
        <v>1201</v>
      </c>
      <c r="D233" s="73" t="s">
        <v>32</v>
      </c>
      <c r="E233" s="74" t="str">
        <f t="shared" si="28"/>
        <v>FK-079Mfe</v>
      </c>
      <c r="F233" s="74">
        <f>_xlfn.XLOOKUP(B233,[1]Elevage!A:A,[1]Elevage!B:B)</f>
        <v>46147</v>
      </c>
      <c r="G233" t="e">
        <f t="shared" si="25"/>
        <v>#REF!</v>
      </c>
      <c r="H233" s="73">
        <f t="shared" si="27"/>
        <v>0</v>
      </c>
      <c r="I233" s="85">
        <v>0</v>
      </c>
      <c r="J233" s="85" t="s">
        <v>966</v>
      </c>
      <c r="K233" s="85">
        <v>0</v>
      </c>
      <c r="L233" s="85" t="s">
        <v>966</v>
      </c>
      <c r="V233" s="127"/>
      <c r="W233" s="127"/>
      <c r="X233" s="127"/>
      <c r="Y233" s="127"/>
      <c r="Z233" s="127"/>
      <c r="AA233" s="127"/>
      <c r="AB233" s="127"/>
      <c r="AC233" s="127"/>
      <c r="AJ233" s="73">
        <v>0</v>
      </c>
    </row>
    <row r="234" spans="1:36" x14ac:dyDescent="0.2">
      <c r="A234" t="s">
        <v>1176</v>
      </c>
      <c r="B234" t="s">
        <v>1035</v>
      </c>
      <c r="C234" t="s">
        <v>1201</v>
      </c>
      <c r="D234" t="s">
        <v>30</v>
      </c>
      <c r="E234" s="2" t="str">
        <f t="shared" si="28"/>
        <v>FK-079Ffe</v>
      </c>
      <c r="F234" s="2">
        <f>_xlfn.XLOOKUP(B234,[1]Elevage!A:A,[1]Elevage!B:B)</f>
        <v>46147</v>
      </c>
      <c r="G234" t="e">
        <f t="shared" si="25"/>
        <v>#REF!</v>
      </c>
      <c r="H234">
        <f t="shared" si="27"/>
        <v>0</v>
      </c>
      <c r="I234" s="84">
        <v>0</v>
      </c>
      <c r="J234" s="84" t="s">
        <v>966</v>
      </c>
      <c r="K234" s="84">
        <v>0</v>
      </c>
      <c r="L234" s="84" t="s">
        <v>966</v>
      </c>
      <c r="AJ234" s="90">
        <v>0</v>
      </c>
    </row>
    <row r="235" spans="1:36" s="73" customFormat="1" x14ac:dyDescent="0.2">
      <c r="A235" s="73" t="s">
        <v>1176</v>
      </c>
      <c r="B235" s="73" t="s">
        <v>1036</v>
      </c>
      <c r="C235" s="73" t="s">
        <v>1201</v>
      </c>
      <c r="D235" s="73" t="s">
        <v>32</v>
      </c>
      <c r="E235" s="74" t="str">
        <f t="shared" si="28"/>
        <v>FK-080Mfe</v>
      </c>
      <c r="F235" s="74">
        <f>_xlfn.XLOOKUP(B235,[1]Elevage!A:A,[1]Elevage!B:B)</f>
        <v>46148</v>
      </c>
      <c r="G235" t="e">
        <f t="shared" si="25"/>
        <v>#REF!</v>
      </c>
      <c r="H235" s="73">
        <f t="shared" si="27"/>
        <v>0</v>
      </c>
      <c r="I235" s="85">
        <v>0</v>
      </c>
      <c r="J235" s="85" t="s">
        <v>966</v>
      </c>
      <c r="K235" s="85">
        <v>0</v>
      </c>
      <c r="L235" s="85" t="s">
        <v>966</v>
      </c>
      <c r="V235" s="127"/>
      <c r="W235" s="127"/>
      <c r="X235" s="127"/>
      <c r="Y235" s="127"/>
      <c r="Z235" s="127"/>
      <c r="AA235" s="127"/>
      <c r="AB235" s="127"/>
      <c r="AC235" s="127"/>
      <c r="AJ235" s="73">
        <v>0</v>
      </c>
    </row>
    <row r="236" spans="1:36" x14ac:dyDescent="0.2">
      <c r="A236" t="s">
        <v>1176</v>
      </c>
      <c r="B236" t="s">
        <v>1036</v>
      </c>
      <c r="C236" t="s">
        <v>1201</v>
      </c>
      <c r="D236" t="s">
        <v>30</v>
      </c>
      <c r="E236" s="2" t="str">
        <f t="shared" si="28"/>
        <v>FK-080Ffe</v>
      </c>
      <c r="F236" s="2">
        <f>_xlfn.XLOOKUP(B236,[1]Elevage!A:A,[1]Elevage!B:B)</f>
        <v>46148</v>
      </c>
      <c r="G236" t="e">
        <f t="shared" si="25"/>
        <v>#REF!</v>
      </c>
      <c r="H236">
        <f t="shared" si="27"/>
        <v>0</v>
      </c>
      <c r="I236" s="84">
        <v>0</v>
      </c>
      <c r="J236" s="84" t="s">
        <v>966</v>
      </c>
      <c r="K236" s="84">
        <v>0</v>
      </c>
      <c r="L236" s="84" t="s">
        <v>966</v>
      </c>
      <c r="AJ236" s="90">
        <v>0</v>
      </c>
    </row>
    <row r="237" spans="1:36" s="73" customFormat="1" x14ac:dyDescent="0.2">
      <c r="A237" s="73" t="s">
        <v>1176</v>
      </c>
      <c r="B237" s="73" t="s">
        <v>1037</v>
      </c>
      <c r="C237" s="73" t="s">
        <v>1201</v>
      </c>
      <c r="D237" s="73" t="s">
        <v>32</v>
      </c>
      <c r="E237" s="74" t="str">
        <f t="shared" si="28"/>
        <v>FK-081Mfe</v>
      </c>
      <c r="F237" s="74">
        <f>_xlfn.XLOOKUP(B237,[1]Elevage!A:A,[1]Elevage!B:B)</f>
        <v>46147</v>
      </c>
      <c r="G237" t="e">
        <f t="shared" si="25"/>
        <v>#REF!</v>
      </c>
      <c r="H237" s="73">
        <f t="shared" si="27"/>
        <v>0</v>
      </c>
      <c r="I237" s="85">
        <v>0</v>
      </c>
      <c r="J237" s="85" t="s">
        <v>966</v>
      </c>
      <c r="K237" s="85">
        <v>0</v>
      </c>
      <c r="L237" s="85" t="s">
        <v>966</v>
      </c>
      <c r="V237" s="127"/>
      <c r="W237" s="127"/>
      <c r="X237" s="127"/>
      <c r="Y237" s="127"/>
      <c r="Z237" s="127"/>
      <c r="AA237" s="127"/>
      <c r="AB237" s="127"/>
      <c r="AC237" s="127"/>
      <c r="AJ237">
        <v>0</v>
      </c>
    </row>
    <row r="238" spans="1:36" x14ac:dyDescent="0.2">
      <c r="A238" t="s">
        <v>1176</v>
      </c>
      <c r="B238" t="s">
        <v>1037</v>
      </c>
      <c r="C238" t="s">
        <v>1201</v>
      </c>
      <c r="D238" t="s">
        <v>30</v>
      </c>
      <c r="E238" s="2" t="str">
        <f t="shared" si="28"/>
        <v>FK-081Ffe</v>
      </c>
      <c r="F238" s="2">
        <f>_xlfn.XLOOKUP(B238,[1]Elevage!A:A,[1]Elevage!B:B)</f>
        <v>46147</v>
      </c>
      <c r="G238" t="e">
        <f t="shared" si="25"/>
        <v>#REF!</v>
      </c>
      <c r="H238">
        <f t="shared" si="27"/>
        <v>0</v>
      </c>
      <c r="I238" s="84">
        <v>0</v>
      </c>
      <c r="J238" s="84" t="s">
        <v>966</v>
      </c>
      <c r="K238" s="84">
        <v>0</v>
      </c>
      <c r="L238" s="84" t="s">
        <v>966</v>
      </c>
      <c r="AJ238">
        <v>0</v>
      </c>
    </row>
    <row r="239" spans="1:36" s="73" customFormat="1" x14ac:dyDescent="0.2">
      <c r="A239" s="73" t="s">
        <v>1176</v>
      </c>
      <c r="B239" s="73" t="s">
        <v>1038</v>
      </c>
      <c r="C239" s="73" t="s">
        <v>1201</v>
      </c>
      <c r="D239" s="73" t="s">
        <v>32</v>
      </c>
      <c r="E239" s="74" t="str">
        <f t="shared" si="28"/>
        <v>FK-082Mfe</v>
      </c>
      <c r="F239" s="74">
        <f>_xlfn.XLOOKUP(B239,[1]Elevage!A:A,[1]Elevage!B:B)</f>
        <v>46169</v>
      </c>
      <c r="G239" t="e">
        <f t="shared" si="25"/>
        <v>#REF!</v>
      </c>
      <c r="H239" s="73">
        <f t="shared" si="27"/>
        <v>0</v>
      </c>
      <c r="I239" s="85">
        <v>0</v>
      </c>
      <c r="J239" s="85" t="s">
        <v>966</v>
      </c>
      <c r="K239" s="85">
        <v>0</v>
      </c>
      <c r="L239" s="85" t="s">
        <v>966</v>
      </c>
      <c r="V239" s="127"/>
      <c r="W239" s="127"/>
      <c r="X239" s="127"/>
      <c r="Y239" s="127"/>
      <c r="Z239" s="127"/>
      <c r="AA239" s="127"/>
      <c r="AB239" s="127"/>
      <c r="AC239" s="127"/>
      <c r="AJ239" s="73">
        <v>0</v>
      </c>
    </row>
    <row r="240" spans="1:36" x14ac:dyDescent="0.2">
      <c r="A240" t="s">
        <v>1176</v>
      </c>
      <c r="B240" t="s">
        <v>1038</v>
      </c>
      <c r="C240" t="s">
        <v>1201</v>
      </c>
      <c r="D240" t="s">
        <v>30</v>
      </c>
      <c r="E240" s="2" t="str">
        <f t="shared" si="28"/>
        <v>FK-082Ffe</v>
      </c>
      <c r="F240" s="2">
        <f>_xlfn.XLOOKUP(B240,[1]Elevage!A:A,[1]Elevage!B:B)</f>
        <v>46169</v>
      </c>
      <c r="G240" t="e">
        <f t="shared" si="25"/>
        <v>#REF!</v>
      </c>
      <c r="H240">
        <f t="shared" si="27"/>
        <v>0</v>
      </c>
      <c r="I240" s="84">
        <v>0</v>
      </c>
      <c r="J240" s="84" t="s">
        <v>966</v>
      </c>
      <c r="K240" s="84">
        <v>0</v>
      </c>
      <c r="L240" s="84" t="s">
        <v>966</v>
      </c>
      <c r="AJ240" s="90">
        <v>0</v>
      </c>
    </row>
    <row r="241" spans="1:36" s="73" customFormat="1" x14ac:dyDescent="0.2">
      <c r="A241" s="73" t="s">
        <v>1176</v>
      </c>
      <c r="B241" s="73" t="s">
        <v>1039</v>
      </c>
      <c r="C241" s="73" t="s">
        <v>1201</v>
      </c>
      <c r="D241" s="73" t="s">
        <v>32</v>
      </c>
      <c r="E241" s="74" t="str">
        <f t="shared" si="28"/>
        <v>FK-083Mfe</v>
      </c>
      <c r="F241" s="74">
        <f>_xlfn.XLOOKUP(B241,[1]Elevage!A:A,[1]Elevage!B:B)</f>
        <v>46169</v>
      </c>
      <c r="G241" s="73" t="e">
        <f t="shared" ref="G241:G250" si="31">G240</f>
        <v>#REF!</v>
      </c>
      <c r="H241" s="73">
        <f t="shared" si="27"/>
        <v>0</v>
      </c>
      <c r="I241" s="85">
        <v>0</v>
      </c>
      <c r="J241" s="85" t="s">
        <v>966</v>
      </c>
      <c r="K241" s="85">
        <v>0</v>
      </c>
      <c r="L241" s="85" t="s">
        <v>966</v>
      </c>
      <c r="V241" s="127"/>
      <c r="W241" s="127"/>
      <c r="X241" s="127"/>
      <c r="Y241" s="127"/>
      <c r="Z241" s="127"/>
      <c r="AA241" s="127"/>
      <c r="AB241" s="127"/>
      <c r="AC241" s="127"/>
      <c r="AJ241" s="73">
        <v>0</v>
      </c>
    </row>
    <row r="242" spans="1:36" x14ac:dyDescent="0.2">
      <c r="A242" t="s">
        <v>1176</v>
      </c>
      <c r="B242" t="s">
        <v>1039</v>
      </c>
      <c r="C242" t="s">
        <v>1201</v>
      </c>
      <c r="D242" t="s">
        <v>30</v>
      </c>
      <c r="E242" s="2" t="str">
        <f t="shared" si="28"/>
        <v>FK-083Ffe</v>
      </c>
      <c r="F242" s="2">
        <f>_xlfn.XLOOKUP(B242,[1]Elevage!A:A,[1]Elevage!B:B)</f>
        <v>46169</v>
      </c>
      <c r="G242" t="e">
        <f t="shared" si="31"/>
        <v>#REF!</v>
      </c>
      <c r="H242">
        <f t="shared" si="27"/>
        <v>0</v>
      </c>
      <c r="I242" s="84">
        <v>0</v>
      </c>
      <c r="J242" s="84" t="s">
        <v>966</v>
      </c>
      <c r="K242" s="84">
        <v>0</v>
      </c>
      <c r="L242" s="84" t="s">
        <v>966</v>
      </c>
      <c r="AJ242" s="90">
        <v>0</v>
      </c>
    </row>
    <row r="243" spans="1:36" s="73" customFormat="1" x14ac:dyDescent="0.2">
      <c r="A243" s="73" t="s">
        <v>1176</v>
      </c>
      <c r="B243" s="73" t="s">
        <v>1040</v>
      </c>
      <c r="C243" s="73" t="s">
        <v>1201</v>
      </c>
      <c r="D243" s="73" t="s">
        <v>32</v>
      </c>
      <c r="E243" s="74" t="str">
        <f t="shared" si="28"/>
        <v>FK-084Mfe</v>
      </c>
      <c r="F243" s="74">
        <f>_xlfn.XLOOKUP(B243,[1]Elevage!A:A,[1]Elevage!B:B)</f>
        <v>46170</v>
      </c>
      <c r="G243" s="73" t="e">
        <f t="shared" si="31"/>
        <v>#REF!</v>
      </c>
      <c r="H243" s="73">
        <f t="shared" si="27"/>
        <v>0</v>
      </c>
      <c r="I243" s="85">
        <v>0</v>
      </c>
      <c r="J243" s="85" t="s">
        <v>966</v>
      </c>
      <c r="K243" s="85">
        <v>0</v>
      </c>
      <c r="L243" s="85" t="s">
        <v>966</v>
      </c>
      <c r="V243" s="127"/>
      <c r="W243" s="127"/>
      <c r="X243" s="127"/>
      <c r="Y243" s="127"/>
      <c r="Z243" s="127"/>
      <c r="AA243" s="127"/>
      <c r="AB243" s="127"/>
      <c r="AC243" s="127"/>
      <c r="AJ243">
        <v>0</v>
      </c>
    </row>
    <row r="244" spans="1:36" x14ac:dyDescent="0.2">
      <c r="A244" t="s">
        <v>1176</v>
      </c>
      <c r="B244" t="s">
        <v>1040</v>
      </c>
      <c r="C244" t="s">
        <v>1201</v>
      </c>
      <c r="D244" t="s">
        <v>30</v>
      </c>
      <c r="E244" s="2" t="str">
        <f t="shared" si="28"/>
        <v>FK-084Ffe</v>
      </c>
      <c r="F244" s="2">
        <f>_xlfn.XLOOKUP(B244,[1]Elevage!A:A,[1]Elevage!B:B)</f>
        <v>46170</v>
      </c>
      <c r="G244" t="e">
        <f t="shared" si="31"/>
        <v>#REF!</v>
      </c>
      <c r="H244">
        <f t="shared" si="27"/>
        <v>0</v>
      </c>
      <c r="I244" s="84">
        <v>0</v>
      </c>
      <c r="J244" s="84" t="s">
        <v>966</v>
      </c>
      <c r="K244" s="84">
        <v>0</v>
      </c>
      <c r="L244" s="84" t="s">
        <v>966</v>
      </c>
      <c r="AJ244">
        <v>0</v>
      </c>
    </row>
    <row r="245" spans="1:36" s="73" customFormat="1" x14ac:dyDescent="0.2">
      <c r="A245" s="73" t="s">
        <v>1176</v>
      </c>
      <c r="B245" s="73" t="s">
        <v>1041</v>
      </c>
      <c r="C245" s="73" t="s">
        <v>1201</v>
      </c>
      <c r="D245" s="73" t="s">
        <v>32</v>
      </c>
      <c r="E245" s="74" t="str">
        <f t="shared" si="28"/>
        <v>FK-085Mfe</v>
      </c>
      <c r="F245" s="74">
        <f>_xlfn.XLOOKUP(B245,[1]Elevage!A:A,[1]Elevage!B:B)</f>
        <v>46141</v>
      </c>
      <c r="G245" s="73" t="e">
        <f t="shared" si="31"/>
        <v>#REF!</v>
      </c>
      <c r="H245" s="73">
        <f t="shared" si="27"/>
        <v>0</v>
      </c>
      <c r="I245" s="85">
        <v>0</v>
      </c>
      <c r="J245" s="85" t="s">
        <v>966</v>
      </c>
      <c r="K245" s="85">
        <v>0</v>
      </c>
      <c r="L245" s="85" t="s">
        <v>966</v>
      </c>
      <c r="V245" s="127"/>
      <c r="W245" s="127"/>
      <c r="X245" s="127"/>
      <c r="Y245" s="127"/>
      <c r="Z245" s="127"/>
      <c r="AA245" s="127"/>
      <c r="AB245" s="127"/>
      <c r="AC245" s="127"/>
      <c r="AJ245" s="73">
        <v>0</v>
      </c>
    </row>
    <row r="246" spans="1:36" x14ac:dyDescent="0.2">
      <c r="A246" t="s">
        <v>1176</v>
      </c>
      <c r="B246" t="s">
        <v>1041</v>
      </c>
      <c r="C246" t="s">
        <v>1201</v>
      </c>
      <c r="D246" t="s">
        <v>30</v>
      </c>
      <c r="E246" s="2" t="str">
        <f t="shared" si="28"/>
        <v>FK-085Ffe</v>
      </c>
      <c r="F246" s="2">
        <f>_xlfn.XLOOKUP(B246,[1]Elevage!A:A,[1]Elevage!B:B)</f>
        <v>46141</v>
      </c>
      <c r="G246" t="e">
        <f t="shared" si="31"/>
        <v>#REF!</v>
      </c>
      <c r="H246">
        <f t="shared" si="27"/>
        <v>0</v>
      </c>
      <c r="I246" s="84">
        <v>0</v>
      </c>
      <c r="J246" s="84" t="s">
        <v>966</v>
      </c>
      <c r="K246" s="84">
        <v>0</v>
      </c>
      <c r="L246" s="84" t="s">
        <v>966</v>
      </c>
      <c r="AJ246" s="90">
        <v>0</v>
      </c>
    </row>
    <row r="247" spans="1:36" s="73" customFormat="1" x14ac:dyDescent="0.2">
      <c r="A247" s="73" t="s">
        <v>1176</v>
      </c>
      <c r="B247" s="73" t="s">
        <v>1042</v>
      </c>
      <c r="C247" s="73" t="s">
        <v>1201</v>
      </c>
      <c r="D247" s="73" t="s">
        <v>32</v>
      </c>
      <c r="E247" s="74" t="str">
        <f t="shared" si="28"/>
        <v>FK-086Mfe</v>
      </c>
      <c r="F247" s="74">
        <f>_xlfn.XLOOKUP(B247,[1]Elevage!A:A,[1]Elevage!B:B)</f>
        <v>46140</v>
      </c>
      <c r="G247" s="73" t="e">
        <f t="shared" si="31"/>
        <v>#REF!</v>
      </c>
      <c r="H247" s="73">
        <f t="shared" si="27"/>
        <v>0</v>
      </c>
      <c r="I247" s="85">
        <v>0</v>
      </c>
      <c r="J247" s="85" t="s">
        <v>966</v>
      </c>
      <c r="K247" s="85">
        <v>0</v>
      </c>
      <c r="L247" s="85" t="s">
        <v>966</v>
      </c>
      <c r="V247" s="127"/>
      <c r="W247" s="127"/>
      <c r="X247" s="127"/>
      <c r="Y247" s="127"/>
      <c r="Z247" s="127"/>
      <c r="AA247" s="127"/>
      <c r="AB247" s="127"/>
      <c r="AC247" s="127"/>
      <c r="AJ247" s="73">
        <v>0</v>
      </c>
    </row>
    <row r="248" spans="1:36" x14ac:dyDescent="0.2">
      <c r="A248" t="s">
        <v>1176</v>
      </c>
      <c r="B248" t="s">
        <v>1042</v>
      </c>
      <c r="C248" t="s">
        <v>1201</v>
      </c>
      <c r="D248" t="s">
        <v>30</v>
      </c>
      <c r="E248" s="2" t="str">
        <f t="shared" si="28"/>
        <v>FK-086Ffe</v>
      </c>
      <c r="F248" s="2">
        <f>_xlfn.XLOOKUP(B248,[1]Elevage!A:A,[1]Elevage!B:B)</f>
        <v>46140</v>
      </c>
      <c r="G248" t="e">
        <f t="shared" si="31"/>
        <v>#REF!</v>
      </c>
      <c r="H248">
        <f t="shared" si="27"/>
        <v>0</v>
      </c>
      <c r="I248" s="84">
        <v>0</v>
      </c>
      <c r="J248" s="84" t="s">
        <v>966</v>
      </c>
      <c r="K248" s="84">
        <v>0</v>
      </c>
      <c r="L248" s="84" t="s">
        <v>966</v>
      </c>
      <c r="AJ248" s="90">
        <v>0</v>
      </c>
    </row>
    <row r="249" spans="1:36" s="73" customFormat="1" x14ac:dyDescent="0.2">
      <c r="A249" s="73" t="s">
        <v>1176</v>
      </c>
      <c r="B249" s="73" t="s">
        <v>1043</v>
      </c>
      <c r="C249" s="73" t="s">
        <v>1201</v>
      </c>
      <c r="D249" s="73" t="s">
        <v>32</v>
      </c>
      <c r="E249" s="74" t="str">
        <f t="shared" si="28"/>
        <v>FK-087Mfe</v>
      </c>
      <c r="F249" s="74">
        <f>_xlfn.XLOOKUP(B249,[1]Elevage!A:A,[1]Elevage!B:B)</f>
        <v>46140</v>
      </c>
      <c r="G249" s="73" t="e">
        <f t="shared" si="31"/>
        <v>#REF!</v>
      </c>
      <c r="H249" s="73">
        <f t="shared" si="27"/>
        <v>0</v>
      </c>
      <c r="I249" s="85">
        <v>0</v>
      </c>
      <c r="J249" s="85" t="s">
        <v>966</v>
      </c>
      <c r="K249" s="85">
        <v>0</v>
      </c>
      <c r="L249" s="85" t="s">
        <v>966</v>
      </c>
      <c r="V249" s="127"/>
      <c r="W249" s="127"/>
      <c r="X249" s="127"/>
      <c r="Y249" s="127"/>
      <c r="Z249" s="127"/>
      <c r="AA249" s="127"/>
      <c r="AB249" s="127"/>
      <c r="AC249" s="127"/>
      <c r="AJ249" s="73">
        <v>0</v>
      </c>
    </row>
    <row r="250" spans="1:36" s="90" customFormat="1" x14ac:dyDescent="0.2">
      <c r="A250" s="90" t="s">
        <v>1176</v>
      </c>
      <c r="B250" s="90" t="s">
        <v>1043</v>
      </c>
      <c r="C250" s="90" t="s">
        <v>1201</v>
      </c>
      <c r="D250" s="90" t="s">
        <v>30</v>
      </c>
      <c r="E250" s="119" t="str">
        <f t="shared" si="28"/>
        <v>FK-087Ffe</v>
      </c>
      <c r="F250" s="119">
        <f>_xlfn.XLOOKUP(B250,[1]Elevage!A:A,[1]Elevage!B:B)</f>
        <v>46140</v>
      </c>
      <c r="G250" s="90" t="e">
        <f t="shared" si="31"/>
        <v>#REF!</v>
      </c>
      <c r="H250" s="90">
        <f t="shared" si="27"/>
        <v>0</v>
      </c>
      <c r="I250" s="120">
        <v>0</v>
      </c>
      <c r="J250" s="120" t="s">
        <v>966</v>
      </c>
      <c r="K250" s="120">
        <v>0</v>
      </c>
      <c r="L250" s="120" t="s">
        <v>966</v>
      </c>
      <c r="V250" s="128"/>
      <c r="W250" s="128"/>
      <c r="X250" s="128"/>
      <c r="Y250" s="128"/>
      <c r="Z250" s="128"/>
      <c r="AA250" s="128"/>
      <c r="AB250" s="128"/>
      <c r="AC250" s="128"/>
      <c r="AJ250" s="90">
        <v>0</v>
      </c>
    </row>
    <row r="251" spans="1:36" x14ac:dyDescent="0.2">
      <c r="I251" s="84"/>
      <c r="J251" s="84"/>
      <c r="K251" s="84"/>
      <c r="L251" s="84"/>
    </row>
    <row r="252" spans="1:36" x14ac:dyDescent="0.2">
      <c r="I252" s="84"/>
      <c r="J252" s="84"/>
      <c r="K252" s="84"/>
      <c r="L252" s="84"/>
    </row>
    <row r="253" spans="1:36" x14ac:dyDescent="0.2">
      <c r="I253" s="84"/>
      <c r="J253" s="84"/>
      <c r="K253" s="84"/>
      <c r="L253" s="84"/>
    </row>
    <row r="254" spans="1:36" x14ac:dyDescent="0.2">
      <c r="I254" s="84"/>
      <c r="J254" s="84"/>
      <c r="K254" s="84"/>
      <c r="L254" s="84"/>
    </row>
    <row r="255" spans="1:36" x14ac:dyDescent="0.2">
      <c r="I255" s="84"/>
      <c r="J255" s="84"/>
      <c r="K255" s="84"/>
      <c r="L255" s="84"/>
    </row>
    <row r="256" spans="1:36" x14ac:dyDescent="0.2">
      <c r="I256" s="84"/>
      <c r="J256" s="84"/>
      <c r="K256" s="84"/>
      <c r="L256" s="84"/>
    </row>
    <row r="257" spans="9:12" x14ac:dyDescent="0.2">
      <c r="I257" s="84"/>
      <c r="J257" s="84"/>
      <c r="K257" s="84"/>
      <c r="L257" s="84"/>
    </row>
    <row r="258" spans="9:12" x14ac:dyDescent="0.2">
      <c r="I258" s="84"/>
      <c r="J258" s="84"/>
      <c r="K258" s="84"/>
      <c r="L258" s="84"/>
    </row>
    <row r="259" spans="9:12" x14ac:dyDescent="0.2">
      <c r="I259" s="84"/>
      <c r="J259" s="84"/>
      <c r="K259" s="84"/>
      <c r="L259" s="84"/>
    </row>
    <row r="260" spans="9:12" x14ac:dyDescent="0.2">
      <c r="I260" s="84"/>
      <c r="J260" s="84"/>
      <c r="K260" s="84"/>
      <c r="L260" s="84"/>
    </row>
    <row r="261" spans="9:12" x14ac:dyDescent="0.2">
      <c r="I261" s="84"/>
      <c r="J261" s="84"/>
      <c r="K261" s="84"/>
      <c r="L261" s="84"/>
    </row>
    <row r="262" spans="9:12" x14ac:dyDescent="0.2">
      <c r="I262" s="84"/>
      <c r="J262" s="84"/>
      <c r="K262" s="84"/>
      <c r="L262" s="84"/>
    </row>
    <row r="263" spans="9:12" x14ac:dyDescent="0.2">
      <c r="I263" s="84"/>
      <c r="J263" s="84"/>
      <c r="K263" s="84"/>
      <c r="L263" s="84"/>
    </row>
    <row r="264" spans="9:12" x14ac:dyDescent="0.2">
      <c r="I264" s="84"/>
      <c r="J264" s="84"/>
      <c r="K264" s="84"/>
      <c r="L264" s="84"/>
    </row>
    <row r="289" spans="2:2" x14ac:dyDescent="0.2">
      <c r="B289" t="e">
        <f>[1]Elevage!A255</f>
        <v>#REF!</v>
      </c>
    </row>
    <row r="290" spans="2:2" x14ac:dyDescent="0.2">
      <c r="B290" t="e">
        <f>[1]Elevage!A256</f>
        <v>#REF!</v>
      </c>
    </row>
    <row r="291" spans="2:2" x14ac:dyDescent="0.2">
      <c r="B291" t="e">
        <f>[1]Elevage!A257</f>
        <v>#REF!</v>
      </c>
    </row>
    <row r="292" spans="2:2" x14ac:dyDescent="0.2">
      <c r="B292" t="e">
        <f>[1]Elevage!A258</f>
        <v>#REF!</v>
      </c>
    </row>
    <row r="293" spans="2:2" x14ac:dyDescent="0.2">
      <c r="B293" t="e">
        <f>[1]Elevage!A259</f>
        <v>#REF!</v>
      </c>
    </row>
    <row r="294" spans="2:2" x14ac:dyDescent="0.2">
      <c r="B294" t="e">
        <f>[1]Elevage!A260</f>
        <v>#REF!</v>
      </c>
    </row>
    <row r="295" spans="2:2" x14ac:dyDescent="0.2">
      <c r="B295" t="e">
        <f>[1]Elevage!A261</f>
        <v>#REF!</v>
      </c>
    </row>
    <row r="296" spans="2:2" x14ac:dyDescent="0.2">
      <c r="B296" t="e">
        <f>[1]Elevage!A262</f>
        <v>#REF!</v>
      </c>
    </row>
    <row r="297" spans="2:2" x14ac:dyDescent="0.2">
      <c r="B297" t="e">
        <f>[1]Elevage!A263</f>
        <v>#REF!</v>
      </c>
    </row>
    <row r="298" spans="2:2" x14ac:dyDescent="0.2">
      <c r="B298" t="e">
        <f>[1]Elevage!A264</f>
        <v>#REF!</v>
      </c>
    </row>
    <row r="299" spans="2:2" x14ac:dyDescent="0.2">
      <c r="B299" t="e">
        <f>[1]Elevage!A265</f>
        <v>#REF!</v>
      </c>
    </row>
    <row r="300" spans="2:2" x14ac:dyDescent="0.2">
      <c r="B300" t="e">
        <f>[1]Elevage!A266</f>
        <v>#REF!</v>
      </c>
    </row>
    <row r="301" spans="2:2" x14ac:dyDescent="0.2">
      <c r="B301" t="e">
        <f>[1]Elevage!A267</f>
        <v>#REF!</v>
      </c>
    </row>
    <row r="302" spans="2:2" x14ac:dyDescent="0.2">
      <c r="B302" t="e">
        <f>[1]Elevage!A268</f>
        <v>#REF!</v>
      </c>
    </row>
  </sheetData>
  <conditionalFormatting sqref="C1:D1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{1DA7ED7A-921F-664C-9D96-E8416BA6FF7D}</x14:id>
        </ext>
      </extLst>
    </cfRule>
  </conditionalFormatting>
  <conditionalFormatting sqref="E1:F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{17DB8133-B489-B644-AF30-D9A43C34534D}</x14:id>
        </ext>
      </extLst>
    </cfRule>
  </conditionalFormatting>
  <conditionalFormatting sqref="G1:H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{DB01AA9D-C030-A547-83E9-FDD2F59019A6}</x14:id>
        </ext>
      </extLst>
    </cfRule>
  </conditionalFormatting>
  <dataValidations count="6">
    <dataValidation type="list" allowBlank="1" showInputMessage="1" showErrorMessage="1" sqref="AD208:AD1048576 AD130:AD164 AD2:AD82 AD86:AD98 AD102:AD126 AD166:AD185 AD190:AD203" xr:uid="{A89EDF93-2814-894D-BAA3-D4F8040E2848}">
      <formula1>"YES,NO"</formula1>
    </dataValidation>
    <dataValidation type="list" allowBlank="1" showInputMessage="1" showErrorMessage="1" sqref="B303:B1048576 A2:A1048576" xr:uid="{C54F7063-0C19-0B4E-937E-0400C6E76537}">
      <formula1>"Fayçal Khetim, Maleck Vasseur"</formula1>
    </dataValidation>
    <dataValidation type="list" allowBlank="1" showInputMessage="1" showErrorMessage="1" sqref="C1" xr:uid="{651E2583-0ADB-2248-AD82-F1FB95E783DE}">
      <formula1>"Pédichiffe,Ecouvillon"</formula1>
    </dataValidation>
    <dataValidation type="list" allowBlank="1" showInputMessage="1" showErrorMessage="1" sqref="D1" xr:uid="{76C14EED-DEE6-214C-A15E-A176F15D0DF5}">
      <mc:AlternateContent xmlns:x12ac="http://schemas.microsoft.com/office/spreadsheetml/2011/1/ac" xmlns:mc="http://schemas.openxmlformats.org/markup-compatibility/2006">
        <mc:Choice Requires="x12ac">
          <x12ac:list>"Cochette,Charcutier"</x12ac:list>
        </mc:Choice>
        <mc:Fallback>
          <formula1>"Cochette,Charcutier"</formula1>
        </mc:Fallback>
      </mc:AlternateContent>
    </dataValidation>
    <dataValidation type="list" allowBlank="1" showInputMessage="1" showErrorMessage="1" sqref="C2:C1048576" xr:uid="{F5980451-008E-1C42-BFA7-EFD33BE07445}">
      <formula1>"Pédichiffe,Ecouvillon,Fecès"</formula1>
    </dataValidation>
    <dataValidation type="list" allowBlank="1" showInputMessage="1" showErrorMessage="1" sqref="D2:D1048576" xr:uid="{4F93FD80-7CD0-8A41-BBBC-120B999EF28A}">
      <formula1>"cochette,charcutier"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A7ED7A-921F-664C-9D96-E8416BA6FF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C1:D1</xm:sqref>
        </x14:conditionalFormatting>
        <x14:conditionalFormatting xmlns:xm="http://schemas.microsoft.com/office/excel/2006/main">
          <x14:cfRule type="dataBar" id="{17DB8133-B489-B644-AF30-D9A43C34534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E1:F1</xm:sqref>
        </x14:conditionalFormatting>
        <x14:conditionalFormatting xmlns:xm="http://schemas.microsoft.com/office/excel/2006/main">
          <x14:cfRule type="dataBar" id="{DB01AA9D-C030-A547-83E9-FDD2F59019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827E-D8C4-294E-92CB-CCCA18C59B4C}">
  <sheetPr codeName="Feuil2"/>
  <dimension ref="A1:AE119"/>
  <sheetViews>
    <sheetView topLeftCell="A24" zoomScale="134" workbookViewId="0">
      <selection activeCell="A83" sqref="A83:XFD83"/>
    </sheetView>
  </sheetViews>
  <sheetFormatPr baseColWidth="10" defaultRowHeight="16" x14ac:dyDescent="0.2"/>
  <cols>
    <col min="1" max="1" width="23.83203125" customWidth="1"/>
    <col min="2" max="2" width="23.6640625" style="2" customWidth="1"/>
    <col min="3" max="4" width="12.5" customWidth="1"/>
    <col min="5" max="5" width="18.1640625" customWidth="1"/>
    <col min="6" max="6" width="34.83203125" customWidth="1"/>
    <col min="7" max="7" width="21.83203125" customWidth="1"/>
    <col min="8" max="8" width="19" customWidth="1"/>
    <col min="9" max="9" width="14.5" customWidth="1"/>
    <col min="10" max="10" width="26.5" customWidth="1"/>
    <col min="12" max="12" width="29.1640625" customWidth="1"/>
    <col min="13" max="13" width="16.83203125" style="92" bestFit="1" customWidth="1"/>
    <col min="14" max="14" width="16.83203125" style="92" customWidth="1"/>
    <col min="17" max="17" width="13.6640625" customWidth="1"/>
    <col min="18" max="18" width="17.6640625" customWidth="1"/>
    <col min="19" max="19" width="29.83203125" customWidth="1"/>
    <col min="20" max="20" width="20.5" customWidth="1"/>
    <col min="21" max="21" width="17.83203125" customWidth="1"/>
    <col min="22" max="22" width="14.33203125" customWidth="1"/>
    <col min="23" max="23" width="14.6640625" customWidth="1"/>
    <col min="24" max="24" width="12" customWidth="1"/>
    <col min="31" max="31" width="6.6640625" bestFit="1" customWidth="1"/>
  </cols>
  <sheetData>
    <row r="1" spans="1:31" ht="19" x14ac:dyDescent="0.25">
      <c r="A1" s="1" t="s">
        <v>0</v>
      </c>
      <c r="B1" s="1" t="s">
        <v>1</v>
      </c>
      <c r="C1" s="1" t="s">
        <v>2</v>
      </c>
      <c r="D1" s="1" t="s">
        <v>1050</v>
      </c>
      <c r="E1" s="1" t="s">
        <v>34</v>
      </c>
      <c r="F1" s="1" t="s">
        <v>3</v>
      </c>
      <c r="G1" s="1" t="s">
        <v>973</v>
      </c>
      <c r="H1" s="1" t="s">
        <v>4</v>
      </c>
      <c r="I1" s="86" t="s">
        <v>941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1099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5</v>
      </c>
      <c r="V1" s="1" t="s">
        <v>16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E1" s="91" t="s">
        <v>1050</v>
      </c>
    </row>
    <row r="2" spans="1:31" x14ac:dyDescent="0.2">
      <c r="A2" t="s">
        <v>24</v>
      </c>
      <c r="B2" s="2">
        <v>46092</v>
      </c>
      <c r="C2" t="s">
        <v>33</v>
      </c>
      <c r="D2">
        <v>40</v>
      </c>
      <c r="E2" cm="1">
        <f t="array" ref="E2">INDEX(AAA!D:D,AE2)</f>
        <v>98121196</v>
      </c>
      <c r="F2" t="s">
        <v>41</v>
      </c>
      <c r="G2" s="73" t="s">
        <v>1046</v>
      </c>
      <c r="H2" t="s">
        <v>35</v>
      </c>
      <c r="I2" t="s">
        <v>1343</v>
      </c>
      <c r="J2" s="73" t="str" cm="1">
        <f t="array" ref="J2">INDEX(AAA!E:E,AE2)</f>
        <v>18 CHEMIN DARDANELLE</v>
      </c>
      <c r="K2" t="s">
        <v>39</v>
      </c>
      <c r="L2" t="str" cm="1">
        <f t="array" ref="L2">INDEX(AAA!C:C,AE3)</f>
        <v>SAINT JOSEPH</v>
      </c>
      <c r="M2" s="92" cm="1">
        <f t="array" ref="M2">INDEX(AAA!G:G,AE2)</f>
        <v>97480</v>
      </c>
      <c r="N2" s="92" t="str" cm="1">
        <f t="array" ref="N2">INDEX(AAA!B:B,AE2)</f>
        <v>C</v>
      </c>
      <c r="S2" s="3" t="s">
        <v>925</v>
      </c>
      <c r="AE2">
        <v>40</v>
      </c>
    </row>
    <row r="3" spans="1:31" s="75" customFormat="1" x14ac:dyDescent="0.2">
      <c r="A3" s="75" t="s">
        <v>25</v>
      </c>
      <c r="B3" s="76">
        <v>46092</v>
      </c>
      <c r="C3" s="75" t="str">
        <f>C2</f>
        <v>Eco-antibio2</v>
      </c>
      <c r="D3" s="75">
        <v>72</v>
      </c>
      <c r="E3" cm="1">
        <f t="array" ref="E3">INDEX(AAA!D:D,AE3)</f>
        <v>98312056</v>
      </c>
      <c r="F3" s="75" t="s">
        <v>36</v>
      </c>
      <c r="G3" s="73" t="s">
        <v>1047</v>
      </c>
      <c r="H3" s="75" t="s">
        <v>35</v>
      </c>
      <c r="I3" t="s">
        <v>1343</v>
      </c>
      <c r="J3" s="73" t="str" cm="1">
        <f t="array" ref="J3">INDEX(AAA!E:E,AE3)</f>
        <v>3 CHEMIN BOIS D HOSTO</v>
      </c>
      <c r="K3" s="75" t="s">
        <v>39</v>
      </c>
      <c r="L3" t="str" cm="1">
        <f t="array" ref="L3">INDEX(AAA!C:C,AE3)</f>
        <v>SAINT JOSEPH</v>
      </c>
      <c r="M3" s="92" cm="1">
        <f t="array" ref="M3">INDEX(AAA!G:G,AE3)</f>
        <v>97480</v>
      </c>
      <c r="N3" s="92" t="str" cm="1">
        <f t="array" ref="N3">INDEX(AAA!B:B,AE3)</f>
        <v>C</v>
      </c>
      <c r="S3" s="75" t="s">
        <v>40</v>
      </c>
      <c r="AE3" s="75">
        <v>72</v>
      </c>
    </row>
    <row r="4" spans="1:31" s="73" customFormat="1" x14ac:dyDescent="0.2">
      <c r="A4" s="73" t="s">
        <v>26</v>
      </c>
      <c r="B4" s="74">
        <v>46094</v>
      </c>
      <c r="C4" s="73" t="str">
        <f t="shared" ref="C4:C70" si="0">C3</f>
        <v>Eco-antibio2</v>
      </c>
      <c r="D4" s="73">
        <v>48</v>
      </c>
      <c r="E4" cm="1">
        <f t="array" ref="E4">INDEX(AAA!D:D,AE4)</f>
        <v>98322112</v>
      </c>
      <c r="F4" s="73" t="s">
        <v>44</v>
      </c>
      <c r="G4" s="73" t="s">
        <v>1045</v>
      </c>
      <c r="H4" s="73" t="s">
        <v>35</v>
      </c>
      <c r="I4" t="s">
        <v>1343</v>
      </c>
      <c r="J4" s="73" t="str" cm="1">
        <f t="array" ref="J4">INDEX(AAA!E:E,AE4)</f>
        <v>107 CHEMIN GRAND PERE</v>
      </c>
      <c r="K4" s="73" t="s">
        <v>39</v>
      </c>
      <c r="L4" t="str" cm="1">
        <f t="array" ref="L4">INDEX(AAA!C:C,AE4)</f>
        <v>SAINT PIERRE / PETITE ILE</v>
      </c>
      <c r="M4" s="92" cm="1">
        <f t="array" ref="M4">INDEX(AAA!G:G,AE4)</f>
        <v>97410</v>
      </c>
      <c r="N4" s="92" t="str" cm="1">
        <f t="array" ref="N4">INDEX(AAA!B:B,AE4)</f>
        <v>C</v>
      </c>
      <c r="S4" s="73" t="str">
        <f>AAA!L48</f>
        <v>picard.emmanuelle974@gmail.com</v>
      </c>
      <c r="AE4" s="73">
        <v>48</v>
      </c>
    </row>
    <row r="5" spans="1:31" s="73" customFormat="1" x14ac:dyDescent="0.2">
      <c r="A5" s="73" t="s">
        <v>27</v>
      </c>
      <c r="B5" s="74">
        <v>46099</v>
      </c>
      <c r="C5" s="73" t="str">
        <f t="shared" si="0"/>
        <v>Eco-antibio2</v>
      </c>
      <c r="D5" s="73">
        <v>120</v>
      </c>
      <c r="E5" cm="1">
        <f t="array" ref="E5">INDEX(AAA!D:D,AE5)</f>
        <v>98016602</v>
      </c>
      <c r="F5" s="73" t="s">
        <v>46</v>
      </c>
      <c r="G5" s="73" t="s">
        <v>1048</v>
      </c>
      <c r="H5" s="73" t="s">
        <v>35</v>
      </c>
      <c r="I5" t="s">
        <v>1343</v>
      </c>
      <c r="J5" s="73" t="str" cm="1">
        <f t="array" ref="J5">INDEX(AAA!E:E,AE5)</f>
        <v>256 CHEMIN GRAND PÈRE</v>
      </c>
      <c r="K5" s="73" t="s">
        <v>39</v>
      </c>
      <c r="L5" t="str" cm="1">
        <f t="array" ref="L5">INDEX(AAA!C:C,AE5)</f>
        <v>SAINT PIERRE / PETITE ILE</v>
      </c>
      <c r="M5" s="92" cm="1">
        <f t="array" ref="M5">INDEX(AAA!G:G,AE5)</f>
        <v>97410</v>
      </c>
      <c r="N5" s="92" t="str" cm="1">
        <f t="array" ref="N5">INDEX(AAA!B:B,AE5)</f>
        <v>C</v>
      </c>
      <c r="S5" s="73" t="str">
        <f>AAA!L120</f>
        <v>nathan490001@gmail.com</v>
      </c>
      <c r="AE5" s="73">
        <v>120</v>
      </c>
    </row>
    <row r="6" spans="1:31" s="73" customFormat="1" x14ac:dyDescent="0.2">
      <c r="A6" s="73" t="s">
        <v>28</v>
      </c>
      <c r="B6" s="74">
        <v>46106</v>
      </c>
      <c r="C6" s="73" t="str">
        <f t="shared" si="0"/>
        <v>Eco-antibio2</v>
      </c>
      <c r="D6" s="73">
        <v>154</v>
      </c>
      <c r="E6" cm="1">
        <f t="array" ref="E6">INDEX(AAA!D:D,AE6)</f>
        <v>98214350</v>
      </c>
      <c r="F6" s="73" t="str">
        <f>AAA!A$154</f>
        <v>SCEA AMELIA (ex:EARL AMELIA)</v>
      </c>
      <c r="G6" s="73" t="s">
        <v>1049</v>
      </c>
      <c r="H6" s="73" t="s">
        <v>35</v>
      </c>
      <c r="I6" t="s">
        <v>1343</v>
      </c>
      <c r="J6" s="73" t="str" cm="1">
        <f t="array" ref="J6">INDEX(AAA!E:E,AE6)</f>
        <v>12 i LIGNE CHEVALIER</v>
      </c>
      <c r="K6" s="73" t="s">
        <v>39</v>
      </c>
      <c r="L6" t="str" cm="1">
        <f t="array" ref="L6">INDEX(AAA!C:C,AE6)</f>
        <v>ETANG SALE/SAINT LOUIS</v>
      </c>
      <c r="M6" s="92" t="str" cm="1">
        <f t="array" ref="M6">INDEX(AAA!G:G,AE6)</f>
        <v>97421</v>
      </c>
      <c r="N6" s="92" t="str" cm="1">
        <f t="array" ref="N6">INDEX(AAA!B:B,AE6)</f>
        <v>C</v>
      </c>
      <c r="S6" s="77" t="s">
        <v>924</v>
      </c>
      <c r="AE6" s="73">
        <v>154</v>
      </c>
    </row>
    <row r="7" spans="1:31" s="73" customFormat="1" x14ac:dyDescent="0.2">
      <c r="A7" s="73" t="s">
        <v>923</v>
      </c>
      <c r="B7" s="74">
        <v>46106</v>
      </c>
      <c r="C7" s="73" t="str">
        <f t="shared" si="0"/>
        <v>Eco-antibio2</v>
      </c>
      <c r="D7" s="73">
        <v>51</v>
      </c>
      <c r="E7" cm="1">
        <f t="array" ref="E7">INDEX(AAA!D:D,AE7)</f>
        <v>98214002</v>
      </c>
      <c r="F7" s="73" t="str">
        <f>AAA!A$51</f>
        <v>EARL DE BELLE VUE</v>
      </c>
      <c r="G7" s="73" t="s">
        <v>1051</v>
      </c>
      <c r="H7" s="73" t="s">
        <v>35</v>
      </c>
      <c r="I7" t="s">
        <v>1343</v>
      </c>
      <c r="J7" s="73" t="str" cm="1">
        <f t="array" ref="J7">INDEX(AAA!E:E,AE7)</f>
        <v>30 CHEMIN BELLEVUE</v>
      </c>
      <c r="K7" s="73" t="s">
        <v>39</v>
      </c>
      <c r="L7" t="str" cm="1">
        <f t="array" ref="L7">INDEX(AAA!C:C,AE7)</f>
        <v>ETANG SALE/SAINT LOUIS</v>
      </c>
      <c r="M7" s="92" t="str" cm="1">
        <f t="array" ref="M7">INDEX(AAA!G:G,AE7)</f>
        <v>97450</v>
      </c>
      <c r="N7" s="92" t="str" cm="1">
        <f t="array" ref="N7">INDEX(AAA!B:B,AE7)</f>
        <v>C</v>
      </c>
      <c r="S7" s="73" t="str">
        <f>AAA!L$51</f>
        <v>joke450@hotmail.fr</v>
      </c>
      <c r="AE7" s="73">
        <v>51</v>
      </c>
    </row>
    <row r="8" spans="1:31" s="73" customFormat="1" x14ac:dyDescent="0.2">
      <c r="A8" s="73" t="s">
        <v>926</v>
      </c>
      <c r="B8" s="74">
        <v>46111</v>
      </c>
      <c r="C8" s="73" t="str">
        <f t="shared" si="0"/>
        <v>Eco-antibio2</v>
      </c>
      <c r="D8" s="73">
        <v>90</v>
      </c>
      <c r="E8" cm="1">
        <f t="array" ref="E8">INDEX(AAA!D:D,AE8)</f>
        <v>98101005</v>
      </c>
      <c r="F8" s="73" t="str">
        <f>AAA!A$90</f>
        <v>EARL LES TROIS PETITS COCHONS (EX:HOAREAU GEORGES MARIE)</v>
      </c>
      <c r="G8" s="73" t="s">
        <v>1054</v>
      </c>
      <c r="H8" s="73" t="s">
        <v>35</v>
      </c>
      <c r="I8" t="s">
        <v>1343</v>
      </c>
      <c r="J8" s="73" t="str" cm="1">
        <f t="array" ref="J8">INDEX(AAA!E:E,AE8)</f>
        <v>25C CHEMIN MAURER</v>
      </c>
      <c r="K8" s="73" t="s">
        <v>39</v>
      </c>
      <c r="L8" t="str" cm="1">
        <f t="array" ref="L8">INDEX(AAA!C:C,AE8)</f>
        <v>AVIRONS/ SAINT LEU</v>
      </c>
      <c r="M8" s="92" t="str" cm="1">
        <f t="array" ref="M8">INDEX(AAA!G:G,AE8)</f>
        <v>97425</v>
      </c>
      <c r="N8" s="92" t="str" cm="1">
        <f t="array" ref="N8">INDEX(AAA!B:B,AE8)</f>
        <v>C</v>
      </c>
      <c r="S8" s="77" t="s">
        <v>927</v>
      </c>
      <c r="AE8" s="73">
        <v>90</v>
      </c>
    </row>
    <row r="9" spans="1:31" s="73" customFormat="1" x14ac:dyDescent="0.2">
      <c r="A9" s="73" t="s">
        <v>928</v>
      </c>
      <c r="B9" s="74">
        <v>46111</v>
      </c>
      <c r="C9" s="73" t="str">
        <f t="shared" si="0"/>
        <v>Eco-antibio2</v>
      </c>
      <c r="D9">
        <v>82</v>
      </c>
      <c r="E9" cm="1">
        <f t="array" ref="E9">INDEX(AAA!D:D,AE9)</f>
        <v>98101022</v>
      </c>
      <c r="F9" s="73" t="str">
        <f>AAA!A$82</f>
        <v>EARL LES CAPUCINES EX RIVIERE GINETTE MARIE ROLAND</v>
      </c>
      <c r="G9" s="73" t="s">
        <v>1052</v>
      </c>
      <c r="H9" s="73" t="s">
        <v>35</v>
      </c>
      <c r="I9" t="s">
        <v>1343</v>
      </c>
      <c r="J9" s="73" t="str" cm="1">
        <f t="array" ref="J9">INDEX(AAA!E:E,AE9)</f>
        <v>6 TERRASSE DE BOIS DE NEFLES</v>
      </c>
      <c r="K9" s="73" t="s">
        <v>39</v>
      </c>
      <c r="L9" t="str" cm="1">
        <f t="array" ref="L9">INDEX(AAA!C:C,AE9)</f>
        <v>AVIRONS/ SAINT LEU</v>
      </c>
      <c r="M9" s="92" t="str" cm="1">
        <f t="array" ref="M9">INDEX(AAA!G:G,AE9)</f>
        <v>97425</v>
      </c>
      <c r="N9" s="92" t="str" cm="1">
        <f t="array" ref="N9">INDEX(AAA!B:B,AE9)</f>
        <v>C</v>
      </c>
      <c r="S9" s="73" t="str">
        <f>AAA!L$82</f>
        <v>ani.riviere@hotmail.fr</v>
      </c>
      <c r="AE9" s="73">
        <f>D9</f>
        <v>82</v>
      </c>
    </row>
    <row r="10" spans="1:31" s="73" customFormat="1" x14ac:dyDescent="0.2">
      <c r="A10" s="73" t="s">
        <v>929</v>
      </c>
      <c r="B10" s="78">
        <v>46111</v>
      </c>
      <c r="C10" s="73" t="str">
        <f t="shared" si="0"/>
        <v>Eco-antibio2</v>
      </c>
      <c r="D10">
        <v>176</v>
      </c>
      <c r="E10" cm="1">
        <f t="array" ref="E10">INDEX(AAA!D:D,AE10)</f>
        <v>98001166</v>
      </c>
      <c r="F10" s="73" t="str">
        <f>AAA!A$176</f>
        <v>VATEL BERNARD</v>
      </c>
      <c r="G10" s="73" t="s">
        <v>1053</v>
      </c>
      <c r="H10" s="73" t="s">
        <v>35</v>
      </c>
      <c r="I10" t="s">
        <v>1343</v>
      </c>
      <c r="J10" s="73" t="str" cm="1">
        <f t="array" ref="J10">INDEX(AAA!E:E,AE10)</f>
        <v>8 ROUTE DES VACOAS</v>
      </c>
      <c r="K10" s="73" t="s">
        <v>39</v>
      </c>
      <c r="L10" t="str" cm="1">
        <f t="array" ref="L10">INDEX(AAA!C:C,AE10)</f>
        <v>AVIRONS/ SAINT LEU</v>
      </c>
      <c r="M10" s="92" t="str" cm="1">
        <f t="array" ref="M10">INDEX(AAA!G:G,AE10)</f>
        <v>97425</v>
      </c>
      <c r="N10" s="92" t="str" cm="1">
        <f t="array" ref="N10">INDEX(AAA!B:B,AE10)</f>
        <v>C</v>
      </c>
      <c r="S10" s="73" t="str">
        <f>AAA!L$176</f>
        <v>bernardvatel@orange.fr</v>
      </c>
      <c r="AE10" s="73">
        <f t="shared" ref="AE10:AE76" si="1">D10</f>
        <v>176</v>
      </c>
    </row>
    <row r="11" spans="1:31" s="73" customFormat="1" x14ac:dyDescent="0.2">
      <c r="A11" s="73" t="s">
        <v>930</v>
      </c>
      <c r="B11" s="78">
        <v>46111</v>
      </c>
      <c r="C11" s="73" t="str">
        <f t="shared" si="0"/>
        <v>Eco-antibio2</v>
      </c>
      <c r="D11">
        <v>39</v>
      </c>
      <c r="E11" cm="1">
        <f t="array" ref="E11">INDEX(AAA!D:D,AE11)</f>
        <v>98001055</v>
      </c>
      <c r="F11" s="73" t="s">
        <v>1062</v>
      </c>
      <c r="G11" s="73" t="s">
        <v>1055</v>
      </c>
      <c r="H11" s="73" t="s">
        <v>35</v>
      </c>
      <c r="I11" t="s">
        <v>1343</v>
      </c>
      <c r="J11" s="73" t="str" cm="1">
        <f t="array" ref="J11">INDEX(AAA!E:E,AE11)</f>
        <v>9 ROUTE DU STADE</v>
      </c>
      <c r="K11" s="73" t="s">
        <v>39</v>
      </c>
      <c r="L11" t="str" cm="1">
        <f t="array" ref="L11">INDEX(AAA!C:C,AE11)</f>
        <v>AVIRONS/ SAINT LEU</v>
      </c>
      <c r="M11" s="92" t="str" cm="1">
        <f t="array" ref="M11">INDEX(AAA!G:G,AE11)</f>
        <v>97425</v>
      </c>
      <c r="N11" s="92" t="str" cm="1">
        <f t="array" ref="N11">INDEX(AAA!B:B,AE11)</f>
        <v>C</v>
      </c>
      <c r="S11" s="73" t="str">
        <f>AAA!L$39</f>
        <v>bellecombe.sartre@gmail.com</v>
      </c>
      <c r="AE11" s="73">
        <f t="shared" si="1"/>
        <v>39</v>
      </c>
    </row>
    <row r="12" spans="1:31" s="73" customFormat="1" x14ac:dyDescent="0.2">
      <c r="A12" s="73" t="s">
        <v>931</v>
      </c>
      <c r="B12" s="74">
        <v>46112</v>
      </c>
      <c r="C12" s="73" t="str">
        <f t="shared" si="0"/>
        <v>Eco-antibio2</v>
      </c>
      <c r="D12">
        <v>87</v>
      </c>
      <c r="E12" cm="1">
        <f t="array" ref="E12">INDEX(AAA!D:D,AE12)</f>
        <v>98213102</v>
      </c>
      <c r="F12" s="73" t="str">
        <f>AAA!A$87</f>
        <v>EARL LES LETCHIS</v>
      </c>
      <c r="G12" s="73" t="s">
        <v>1056</v>
      </c>
      <c r="H12" s="73" t="s">
        <v>35</v>
      </c>
      <c r="I12" t="s">
        <v>1343</v>
      </c>
      <c r="J12" s="73" t="str" cm="1">
        <f t="array" ref="J12">INDEX(AAA!E:E,AE12)</f>
        <v>18 ALLEE DES LETCHIS</v>
      </c>
      <c r="K12" s="73" t="s">
        <v>39</v>
      </c>
      <c r="L12" t="str" cm="1">
        <f t="array" ref="L12">INDEX(AAA!C:C,AE12)</f>
        <v>AVIRONS/ SAINT LEU</v>
      </c>
      <c r="M12" s="92" t="str" cm="1">
        <f t="array" ref="M12">INDEX(AAA!G:G,AE12)</f>
        <v>97424</v>
      </c>
      <c r="N12" s="92" t="str" cm="1">
        <f t="array" ref="N12">INDEX(AAA!B:B,AE12)</f>
        <v>C</v>
      </c>
      <c r="S12" s="77" t="s">
        <v>932</v>
      </c>
      <c r="AE12" s="73">
        <f t="shared" si="1"/>
        <v>87</v>
      </c>
    </row>
    <row r="13" spans="1:31" s="73" customFormat="1" x14ac:dyDescent="0.2">
      <c r="A13" s="73" t="s">
        <v>933</v>
      </c>
      <c r="B13" s="74">
        <v>46112</v>
      </c>
      <c r="C13" s="73" t="str">
        <f t="shared" si="0"/>
        <v>Eco-antibio2</v>
      </c>
      <c r="D13">
        <v>43</v>
      </c>
      <c r="E13" cm="1">
        <f t="array" ref="E13">INDEX(AAA!D:D,AE13)</f>
        <v>98001167</v>
      </c>
      <c r="F13" s="73" t="str">
        <f>AAA!A$43</f>
        <v>EARL CALTEAU</v>
      </c>
      <c r="G13" s="73" t="s">
        <v>1057</v>
      </c>
      <c r="H13" s="73" t="s">
        <v>35</v>
      </c>
      <c r="I13" t="s">
        <v>1343</v>
      </c>
      <c r="J13" s="73" t="str" cm="1">
        <f t="array" ref="J13">INDEX(AAA!E:E,AE13)</f>
        <v>35 CHEMIN DOZENVAL</v>
      </c>
      <c r="K13" s="73" t="s">
        <v>39</v>
      </c>
      <c r="L13" t="str" cm="1">
        <f t="array" ref="L13">INDEX(AAA!C:C,AE13)</f>
        <v>AVIRONS/ SAINT LEU</v>
      </c>
      <c r="M13" s="92" t="str" cm="1">
        <f t="array" ref="M13">INDEX(AAA!G:G,AE13)</f>
        <v>97425</v>
      </c>
      <c r="N13" s="92" t="str" cm="1">
        <f t="array" ref="N13">INDEX(AAA!B:B,AE13)</f>
        <v>C</v>
      </c>
      <c r="S13" s="73" t="str">
        <f>AAA!L$43</f>
        <v>georges.calteau@wanadoo.fr</v>
      </c>
      <c r="AE13" s="73">
        <f t="shared" si="1"/>
        <v>43</v>
      </c>
    </row>
    <row r="14" spans="1:31" s="73" customFormat="1" x14ac:dyDescent="0.2">
      <c r="A14" s="73" t="s">
        <v>934</v>
      </c>
      <c r="B14" s="74">
        <v>46112</v>
      </c>
      <c r="C14" s="73" t="str">
        <f t="shared" si="0"/>
        <v>Eco-antibio2</v>
      </c>
      <c r="D14">
        <v>67</v>
      </c>
      <c r="E14" cm="1">
        <f t="array" ref="E14">INDEX(AAA!D:D,AE14)</f>
        <v>98001038</v>
      </c>
      <c r="F14" s="73" t="str">
        <f>AAA!A$67</f>
        <v xml:space="preserve">EARL KERBEL (ex GAEC KERBEL) </v>
      </c>
      <c r="G14" s="73" t="s">
        <v>1057</v>
      </c>
      <c r="H14" s="73" t="s">
        <v>35</v>
      </c>
      <c r="I14" t="s">
        <v>1343</v>
      </c>
      <c r="J14" s="73" t="str" cm="1">
        <f t="array" ref="J14">INDEX(AAA!E:E,AE14)</f>
        <v>117 CHEMIN KERBEL</v>
      </c>
      <c r="K14" s="73" t="s">
        <v>39</v>
      </c>
      <c r="L14" t="str" cm="1">
        <f t="array" ref="L14">INDEX(AAA!C:C,AE14)</f>
        <v>AVIRONS/ SAINT LEU</v>
      </c>
      <c r="M14" s="92" t="str" cm="1">
        <f t="array" ref="M14">INDEX(AAA!G:G,AE14)</f>
        <v>97425</v>
      </c>
      <c r="N14" s="92" t="str" cm="1">
        <f t="array" ref="N14">INDEX(AAA!B:B,AE14)</f>
        <v>C</v>
      </c>
      <c r="S14" s="73" t="str">
        <f>AAA!L$43</f>
        <v>georges.calteau@wanadoo.fr</v>
      </c>
      <c r="AE14" s="73">
        <f t="shared" si="1"/>
        <v>67</v>
      </c>
    </row>
    <row r="15" spans="1:31" s="73" customFormat="1" x14ac:dyDescent="0.2">
      <c r="A15" s="73" t="s">
        <v>935</v>
      </c>
      <c r="B15" s="74">
        <v>46112</v>
      </c>
      <c r="C15" s="73" t="str">
        <f t="shared" si="0"/>
        <v>Eco-antibio2</v>
      </c>
      <c r="D15">
        <v>104</v>
      </c>
      <c r="E15" cm="1">
        <f t="array" ref="E15">INDEX(AAA!D:D,AE15)</f>
        <v>98313032</v>
      </c>
      <c r="F15" s="73" t="str">
        <f>AAA!A$104</f>
        <v>EARL TOUT LE BON (ex:LE BORGNE THIERRY)</v>
      </c>
      <c r="G15" s="73" t="s">
        <v>1058</v>
      </c>
      <c r="H15" s="73" t="s">
        <v>35</v>
      </c>
      <c r="I15" t="s">
        <v>1343</v>
      </c>
      <c r="J15" s="73" t="str" cm="1">
        <f t="array" ref="J15">INDEX(AAA!E:E,AE15)</f>
        <v>5. CHEMIN TAN ROUGE LE PLATE</v>
      </c>
      <c r="K15" s="73" t="s">
        <v>39</v>
      </c>
      <c r="L15" t="str" cm="1">
        <f t="array" ref="L15">INDEX(AAA!C:C,AE15)</f>
        <v>AVIRONS/ SAINT LEU</v>
      </c>
      <c r="M15" s="92" cm="1">
        <f t="array" ref="M15">INDEX(AAA!G:G,AE15)</f>
        <v>97424</v>
      </c>
      <c r="N15" s="92" t="str" cm="1">
        <f t="array" ref="N15">INDEX(AAA!B:B,AE15)</f>
        <v>IPA</v>
      </c>
      <c r="S15" s="77" t="s">
        <v>940</v>
      </c>
      <c r="AE15" s="73">
        <f t="shared" si="1"/>
        <v>104</v>
      </c>
    </row>
    <row r="16" spans="1:31" s="73" customFormat="1" x14ac:dyDescent="0.2">
      <c r="A16" s="73" t="s">
        <v>936</v>
      </c>
      <c r="B16" s="74">
        <v>46113</v>
      </c>
      <c r="C16" s="73" t="str">
        <f t="shared" si="0"/>
        <v>Eco-antibio2</v>
      </c>
      <c r="D16">
        <v>69</v>
      </c>
      <c r="E16" cm="1">
        <f t="array" ref="E16">INDEX(AAA!D:D,AE16)</f>
        <v>98213167</v>
      </c>
      <c r="F16" s="73" t="str">
        <f>AAA!A$69</f>
        <v>EARL LA FERME DU COIN TRANQUILLE</v>
      </c>
      <c r="G16" s="73" t="s">
        <v>1059</v>
      </c>
      <c r="H16" s="73" t="s">
        <v>35</v>
      </c>
      <c r="I16" t="s">
        <v>1343</v>
      </c>
      <c r="J16" s="73" t="str" cm="1">
        <f t="array" ref="J16">INDEX(AAA!E:E,AE16)</f>
        <v>19ter CHEMIN TAN ROUGE</v>
      </c>
      <c r="K16" s="73" t="s">
        <v>39</v>
      </c>
      <c r="L16" t="str" cm="1">
        <f t="array" ref="L16">INDEX(AAA!C:C,AE16)</f>
        <v>AVIRONS/ SAINT LEU</v>
      </c>
      <c r="M16" s="92" t="str" cm="1">
        <f t="array" ref="M16">INDEX(AAA!G:G,AE16)</f>
        <v>97424</v>
      </c>
      <c r="N16" s="92" t="str" cm="1">
        <f t="array" ref="N16">INDEX(AAA!B:B,AE16)</f>
        <v>C</v>
      </c>
      <c r="S16" s="73" t="str">
        <f>AAA!L$69</f>
        <v>lafermeducointranquille@orange.fr</v>
      </c>
      <c r="AE16" s="73">
        <f t="shared" si="1"/>
        <v>69</v>
      </c>
    </row>
    <row r="17" spans="1:31" s="73" customFormat="1" x14ac:dyDescent="0.2">
      <c r="A17" s="73" t="s">
        <v>937</v>
      </c>
      <c r="B17" s="74">
        <v>46113</v>
      </c>
      <c r="C17" s="73" t="str">
        <f t="shared" si="0"/>
        <v>Eco-antibio2</v>
      </c>
      <c r="D17">
        <v>81</v>
      </c>
      <c r="E17" cm="1">
        <f t="array" ref="E17">INDEX(AAA!D:D,AE17)</f>
        <v>98023154</v>
      </c>
      <c r="F17" s="73" t="s">
        <v>1061</v>
      </c>
      <c r="G17" s="73" t="s">
        <v>1060</v>
      </c>
      <c r="H17" s="73" t="s">
        <v>35</v>
      </c>
      <c r="I17" t="s">
        <v>1343</v>
      </c>
      <c r="J17" s="73" t="str" cm="1">
        <f t="array" ref="J17">INDEX(AAA!E:E,AE17)</f>
        <v>201 CHEMIN MAROCAIN</v>
      </c>
      <c r="K17" s="73" t="s">
        <v>39</v>
      </c>
      <c r="L17" t="str" cm="1">
        <f t="array" ref="L17">INDEX(AAA!C:C,AE17)</f>
        <v>TROIS BASSINS/ SAINT PAUL</v>
      </c>
      <c r="M17" s="92" t="str" cm="1">
        <f t="array" ref="M17">INDEX(AAA!G:G,AE17)</f>
        <v>97426</v>
      </c>
      <c r="N17" s="92" t="str" cm="1">
        <f t="array" ref="N17">INDEX(AAA!B:B,AE17)</f>
        <v>C</v>
      </c>
      <c r="S17" s="73" t="str">
        <f>AAA!L$81</f>
        <v>earl.lescalumets@sfr.fr</v>
      </c>
      <c r="AE17" s="73">
        <f t="shared" si="1"/>
        <v>81</v>
      </c>
    </row>
    <row r="18" spans="1:31" s="73" customFormat="1" x14ac:dyDescent="0.2">
      <c r="A18" s="73" t="s">
        <v>938</v>
      </c>
      <c r="B18" s="74">
        <v>46113</v>
      </c>
      <c r="C18" s="73" t="str">
        <f t="shared" si="0"/>
        <v>Eco-antibio2</v>
      </c>
      <c r="D18">
        <v>26</v>
      </c>
      <c r="E18" cm="1">
        <f t="array" ref="E18">INDEX(AAA!D:D,AE18)</f>
        <v>98715202</v>
      </c>
      <c r="F18" s="73" t="str">
        <f>AAA!A$26</f>
        <v>CRESCENCE GUITO</v>
      </c>
      <c r="G18" s="73" t="s">
        <v>1044</v>
      </c>
      <c r="H18" s="73" t="s">
        <v>35</v>
      </c>
      <c r="I18" t="s">
        <v>1343</v>
      </c>
      <c r="J18" s="73" t="str" cm="1">
        <f t="array" ref="J18">INDEX(AAA!E:E,AE18)</f>
        <v>130 CHEMIN DE LIGNE</v>
      </c>
      <c r="K18" s="73" t="s">
        <v>39</v>
      </c>
      <c r="L18" t="str" cm="1">
        <f t="array" ref="L18">INDEX(AAA!C:C,AE18)</f>
        <v>TROIS BASSINS/ SAINT PAUL</v>
      </c>
      <c r="M18" s="92" t="str" cm="1">
        <f t="array" ref="M18">INDEX(AAA!G:G,AE18)</f>
        <v>97422</v>
      </c>
      <c r="N18" s="92" t="str" cm="1">
        <f t="array" ref="N18">INDEX(AAA!B:B,AE18)</f>
        <v>C</v>
      </c>
      <c r="S18" s="73" t="str">
        <f>AAA!L$26</f>
        <v>crescencevivien@gmail.com</v>
      </c>
      <c r="AE18" s="73">
        <f t="shared" si="1"/>
        <v>26</v>
      </c>
    </row>
    <row r="19" spans="1:31" s="73" customFormat="1" x14ac:dyDescent="0.2">
      <c r="A19" s="73" t="s">
        <v>939</v>
      </c>
      <c r="B19" s="74">
        <v>46114</v>
      </c>
      <c r="C19" s="73" t="str">
        <f t="shared" si="0"/>
        <v>Eco-antibio2</v>
      </c>
      <c r="D19">
        <v>57</v>
      </c>
      <c r="E19" cm="1">
        <f t="array" ref="E19">INDEX(AAA!D:D,AE19)</f>
        <v>98615034</v>
      </c>
      <c r="F19" s="73" t="s">
        <v>1075</v>
      </c>
      <c r="G19" s="73" t="s">
        <v>1063</v>
      </c>
      <c r="H19" s="73" t="s">
        <v>35</v>
      </c>
      <c r="I19" t="s">
        <v>1343</v>
      </c>
      <c r="J19" s="73" t="str" cm="1">
        <f t="array" ref="J19">INDEX(AAA!E:E,AE19)</f>
        <v>312 CHEMIN DES ROSES</v>
      </c>
      <c r="K19" s="73" t="s">
        <v>39</v>
      </c>
      <c r="L19" t="str" cm="1">
        <f t="array" ref="L19">INDEX(AAA!C:C,AE19)</f>
        <v>TROIS BASSINS/ SAINT PAUL</v>
      </c>
      <c r="M19" s="92" t="str" cm="1">
        <f t="array" ref="M19">INDEX(AAA!G:G,AE19)</f>
        <v>97435</v>
      </c>
      <c r="N19" s="92" t="str" cm="1">
        <f t="array" ref="N19">INDEX(AAA!B:B,AE19)</f>
        <v>C</v>
      </c>
      <c r="S19" s="73" t="str" cm="1">
        <f t="array" ref="S19">INDEX(AAA!L:L,AE19)</f>
        <v>jeancharles974@hotmail.fr</v>
      </c>
      <c r="AE19" s="73">
        <f t="shared" si="1"/>
        <v>57</v>
      </c>
    </row>
    <row r="20" spans="1:31" s="73" customFormat="1" x14ac:dyDescent="0.2">
      <c r="A20" s="73" t="s">
        <v>975</v>
      </c>
      <c r="B20" s="74">
        <v>46114</v>
      </c>
      <c r="C20" s="73" t="str">
        <f t="shared" si="0"/>
        <v>Eco-antibio2</v>
      </c>
      <c r="D20">
        <v>102</v>
      </c>
      <c r="E20" cm="1">
        <f t="array" ref="E20">INDEX(AAA!D:D,AE20)</f>
        <v>98715122</v>
      </c>
      <c r="F20" s="73" t="str" cm="1">
        <f t="array" ref="F20">INDEX(AAA!A:A,AE20)</f>
        <v>EARL SOCIETE DU TAN ROUGE</v>
      </c>
      <c r="G20" s="73" t="s">
        <v>1064</v>
      </c>
      <c r="H20" s="73" t="s">
        <v>35</v>
      </c>
      <c r="I20" t="s">
        <v>1343</v>
      </c>
      <c r="J20" s="73" t="str" cm="1">
        <f t="array" ref="J20">INDEX(AAA!E:E,AE20)</f>
        <v>52 CD 6 CHEMIN D EAU</v>
      </c>
      <c r="K20" s="73" t="s">
        <v>39</v>
      </c>
      <c r="L20" t="str" cm="1">
        <f t="array" ref="L20">INDEX(AAA!C:C,AE20)</f>
        <v>TROIS BASSINS/ SAINT PAUL</v>
      </c>
      <c r="M20" s="92" t="str" cm="1">
        <f t="array" ref="M20">INDEX(AAA!G:G,AE20)</f>
        <v>97422</v>
      </c>
      <c r="N20" s="92" t="str" cm="1">
        <f t="array" ref="N20">INDEX(AAA!B:B,AE20)</f>
        <v>C</v>
      </c>
      <c r="S20" s="73" t="str" cm="1">
        <f t="array" ref="S20">INDEX(AAA!L:L,AE20)</f>
        <v>societedutanrouge@gmail.com</v>
      </c>
      <c r="AE20" s="73">
        <f t="shared" si="1"/>
        <v>102</v>
      </c>
    </row>
    <row r="21" spans="1:31" s="73" customFormat="1" x14ac:dyDescent="0.2">
      <c r="A21" s="73" t="s">
        <v>976</v>
      </c>
      <c r="B21" s="74">
        <v>46114</v>
      </c>
      <c r="C21" s="73" t="str">
        <f t="shared" si="0"/>
        <v>Eco-antibio2</v>
      </c>
      <c r="D21">
        <v>94</v>
      </c>
      <c r="E21" cm="1">
        <f t="array" ref="E21">INDEX(AAA!D:D,AE21)</f>
        <v>98915019</v>
      </c>
      <c r="F21" s="73" t="s">
        <v>1066</v>
      </c>
      <c r="G21" s="73" t="s">
        <v>1065</v>
      </c>
      <c r="H21" s="73" t="s">
        <v>35</v>
      </c>
      <c r="I21" t="s">
        <v>1343</v>
      </c>
      <c r="J21" s="73" t="str" cm="1">
        <f t="array" ref="J21">INDEX(AAA!E:E,AE21)</f>
        <v>68 CHEMIN AUBERVAL</v>
      </c>
      <c r="K21" s="73" t="s">
        <v>39</v>
      </c>
      <c r="L21" t="str" cm="1">
        <f t="array" ref="L21">INDEX(AAA!C:C,AE21)</f>
        <v>TROIS BASSINS/ SAINT PAUL</v>
      </c>
      <c r="M21" s="92" t="str" cm="1">
        <f t="array" ref="M21">INDEX(AAA!G:G,AE21)</f>
        <v>97435</v>
      </c>
      <c r="N21" s="92" t="str" cm="1">
        <f t="array" ref="N21">INDEX(AAA!B:B,AE21)</f>
        <v>C</v>
      </c>
      <c r="S21" s="73" t="str" cm="1">
        <f t="array" ref="S21">INDEX(AAA!L:L,AE21)</f>
        <v>earl.nidnorg@orange.fr</v>
      </c>
      <c r="AE21" s="73">
        <f t="shared" si="1"/>
        <v>94</v>
      </c>
    </row>
    <row r="22" spans="1:31" x14ac:dyDescent="0.2">
      <c r="A22" s="75" t="s">
        <v>977</v>
      </c>
      <c r="B22" s="74">
        <v>46114</v>
      </c>
      <c r="C22" s="73" t="str">
        <f t="shared" si="0"/>
        <v>Eco-antibio2</v>
      </c>
      <c r="D22">
        <v>22</v>
      </c>
      <c r="E22" cm="1">
        <f t="array" ref="E22">INDEX(AAA!D:D,AE22)</f>
        <v>98315144</v>
      </c>
      <c r="F22" s="73" t="str" cm="1">
        <f t="array" ref="F22">INDEX(AAA!A:A,AE22)</f>
        <v>BOYER YVAN</v>
      </c>
      <c r="G22" t="s">
        <v>1067</v>
      </c>
      <c r="H22" s="73" t="s">
        <v>35</v>
      </c>
      <c r="I22" t="s">
        <v>1343</v>
      </c>
      <c r="J22" s="73" t="str" cm="1">
        <f t="array" ref="J22">INDEX(AAA!E:E,AE22)</f>
        <v>50 CHEMIN GEVIN</v>
      </c>
      <c r="K22" s="73" t="s">
        <v>39</v>
      </c>
      <c r="L22" t="str" cm="1">
        <f t="array" ref="L22">INDEX(AAA!C:C,AE22)</f>
        <v>TROIS BASSINS/ SAINT PAUL</v>
      </c>
      <c r="M22" s="92" t="str" cm="1">
        <f t="array" ref="M22">INDEX(AAA!G:G,AE22)</f>
        <v>97411</v>
      </c>
      <c r="N22" s="92" t="str" cm="1">
        <f t="array" ref="N22">INDEX(AAA!B:B,AE22)</f>
        <v>C</v>
      </c>
      <c r="S22" s="77" t="s">
        <v>1068</v>
      </c>
      <c r="AE22" s="73">
        <f t="shared" si="1"/>
        <v>22</v>
      </c>
    </row>
    <row r="23" spans="1:31" x14ac:dyDescent="0.2">
      <c r="A23" s="73" t="s">
        <v>978</v>
      </c>
      <c r="B23" s="74">
        <v>46120</v>
      </c>
      <c r="C23" s="73" t="str">
        <f t="shared" si="0"/>
        <v>Eco-antibio2</v>
      </c>
      <c r="D23">
        <v>88</v>
      </c>
      <c r="E23" cm="1">
        <f t="array" ref="E23">INDEX(AAA!D:D,AE23)</f>
        <v>98315097</v>
      </c>
      <c r="F23" s="73" t="s">
        <v>1074</v>
      </c>
      <c r="G23" s="73" t="s">
        <v>1070</v>
      </c>
      <c r="H23" s="73" t="s">
        <v>35</v>
      </c>
      <c r="I23" t="s">
        <v>1343</v>
      </c>
      <c r="J23" s="73" t="str" cm="1">
        <f t="array" ref="J23">INDEX(AAA!E:E,AE23)</f>
        <v>205 CHEMIN MARTYR</v>
      </c>
      <c r="K23" s="73" t="s">
        <v>39</v>
      </c>
      <c r="L23" t="str" cm="1">
        <f t="array" ref="L23">INDEX(AAA!C:C,AE23)</f>
        <v>TROIS BASSINS/ SAINT PAUL</v>
      </c>
      <c r="M23" s="92" t="str" cm="1">
        <f t="array" ref="M23">INDEX(AAA!G:G,AE23)</f>
        <v>97411</v>
      </c>
      <c r="N23" s="92" t="str" cm="1">
        <f t="array" ref="N23">INDEX(AAA!B:B,AE23)</f>
        <v>C</v>
      </c>
      <c r="O23" s="73"/>
      <c r="P23" s="73"/>
      <c r="Q23" s="73"/>
      <c r="R23" s="73"/>
      <c r="S23" s="77" t="s">
        <v>1069</v>
      </c>
      <c r="AE23" s="73">
        <f t="shared" si="1"/>
        <v>88</v>
      </c>
    </row>
    <row r="24" spans="1:31" x14ac:dyDescent="0.2">
      <c r="A24" s="73" t="s">
        <v>1071</v>
      </c>
      <c r="B24" s="74">
        <v>46121</v>
      </c>
      <c r="C24" s="73" t="str">
        <f t="shared" si="0"/>
        <v>Eco-antibio2</v>
      </c>
      <c r="D24">
        <v>37</v>
      </c>
      <c r="E24" cm="1">
        <f t="array" ref="E24">INDEX(AAA!D:D,AE24)</f>
        <v>98006064</v>
      </c>
      <c r="F24" s="73" t="s">
        <v>1073</v>
      </c>
      <c r="G24" t="s">
        <v>1072</v>
      </c>
      <c r="H24" s="73" t="s">
        <v>35</v>
      </c>
      <c r="I24" t="s">
        <v>1343</v>
      </c>
      <c r="J24" s="73" t="str" cm="1">
        <f t="array" ref="J24">INDEX(AAA!E:E,AE24)</f>
        <v>130 RUE CARRON LOUIS</v>
      </c>
      <c r="K24" s="73" t="s">
        <v>39</v>
      </c>
      <c r="L24" t="str" cm="1">
        <f t="array" ref="L24">INDEX(AAA!C:C,AE24)</f>
        <v>PLAINE DES PALMISTES/ SAINTE ANNE</v>
      </c>
      <c r="M24" s="92" t="str" cm="1">
        <f t="array" ref="M24">INDEX(AAA!G:G,AE24)</f>
        <v>97431</v>
      </c>
      <c r="N24" s="92" t="str" cm="1">
        <f t="array" ref="N24">INDEX(AAA!B:B,AE24)</f>
        <v>C</v>
      </c>
      <c r="S24" s="77" t="s">
        <v>1078</v>
      </c>
      <c r="AE24" s="73">
        <f t="shared" si="1"/>
        <v>37</v>
      </c>
    </row>
    <row r="25" spans="1:31" x14ac:dyDescent="0.2">
      <c r="A25" s="73" t="s">
        <v>979</v>
      </c>
      <c r="B25" s="74">
        <v>46121</v>
      </c>
      <c r="C25" s="73" t="str">
        <f>C23</f>
        <v>Eco-antibio2</v>
      </c>
      <c r="D25">
        <v>160</v>
      </c>
      <c r="E25" cm="1">
        <f t="array" ref="E25">INDEX(AAA!D:D,AE25)</f>
        <v>98006103</v>
      </c>
      <c r="F25" s="73" t="str" cm="1">
        <f t="array" ref="F25">INDEX(AAA!A:A,AE25)</f>
        <v>SCEA ELEVAGE LALLEMAND</v>
      </c>
      <c r="G25" t="s">
        <v>1076</v>
      </c>
      <c r="H25" s="73" t="s">
        <v>35</v>
      </c>
      <c r="I25" t="s">
        <v>1343</v>
      </c>
      <c r="J25" s="73" t="str" cm="1">
        <f t="array" ref="J25">INDEX(AAA!E:E,AE25)</f>
        <v>51 RUE LUC BOYER - PETITE PLAINE</v>
      </c>
      <c r="K25" s="73" t="s">
        <v>39</v>
      </c>
      <c r="L25" t="str" cm="1">
        <f t="array" ref="L25">INDEX(AAA!C:C,AE25)</f>
        <v>PLAINE DES PALMISTES/ SAINTE ANNE</v>
      </c>
      <c r="M25" s="92" cm="1">
        <f t="array" ref="M25">INDEX(AAA!G:G,AE25)</f>
        <v>97431</v>
      </c>
      <c r="N25" s="92" t="str" cm="1">
        <f t="array" ref="N25">INDEX(AAA!B:B,AE25)</f>
        <v>I</v>
      </c>
      <c r="S25" s="73" t="str" cm="1">
        <f t="array" ref="S25">INDEX(AAA!L:L,AE25)</f>
        <v>lallemand431olivier@gmail.com</v>
      </c>
      <c r="AE25" s="73">
        <f t="shared" si="1"/>
        <v>160</v>
      </c>
    </row>
    <row r="26" spans="1:31" x14ac:dyDescent="0.2">
      <c r="A26" s="73" t="s">
        <v>980</v>
      </c>
      <c r="B26" s="74">
        <v>46121</v>
      </c>
      <c r="C26" s="73" t="str">
        <f t="shared" si="0"/>
        <v>Eco-antibio2</v>
      </c>
      <c r="D26">
        <v>35</v>
      </c>
      <c r="E26" cm="1">
        <f t="array" ref="E26">INDEX(AAA!D:D,AE26)</f>
        <v>98010194</v>
      </c>
      <c r="F26" s="73" t="str" cm="1">
        <f t="array" ref="F26">INDEX(AAA!A:A,AE26)</f>
        <v>DIJOUX THIERRY</v>
      </c>
      <c r="G26" t="s">
        <v>1077</v>
      </c>
      <c r="H26" s="73" t="s">
        <v>35</v>
      </c>
      <c r="I26" t="s">
        <v>1343</v>
      </c>
      <c r="J26" s="73" t="s">
        <v>1080</v>
      </c>
      <c r="K26" s="73" t="s">
        <v>39</v>
      </c>
      <c r="L26" t="str" cm="1">
        <f t="array" ref="L26">INDEX(AAA!C:C,AE26)</f>
        <v>PLAINE DES PALMISTES/ SAINTE ANNE</v>
      </c>
      <c r="M26" s="92">
        <v>97470</v>
      </c>
      <c r="N26" s="92" t="str" cm="1">
        <f t="array" ref="N26">INDEX(AAA!B:B,AE26)</f>
        <v>C</v>
      </c>
      <c r="S26" s="73" t="str" cm="1">
        <f t="array" ref="S26">INDEX(AAA!L:L,AE26)</f>
        <v>dijoux.jean-pascal@orange.fr</v>
      </c>
      <c r="AE26" s="73">
        <f t="shared" si="1"/>
        <v>35</v>
      </c>
    </row>
    <row r="27" spans="1:31" x14ac:dyDescent="0.2">
      <c r="A27" s="73" t="s">
        <v>981</v>
      </c>
      <c r="B27" s="74">
        <v>46121</v>
      </c>
      <c r="C27" s="73" t="str">
        <f t="shared" si="0"/>
        <v>Eco-antibio2</v>
      </c>
      <c r="D27">
        <v>59</v>
      </c>
      <c r="E27" cm="1">
        <f t="array" ref="E27">INDEX(AAA!D:D,AE27)</f>
        <v>98006154</v>
      </c>
      <c r="F27" s="73" t="str" cm="1">
        <f t="array" ref="F27">INDEX(AAA!A:A,AE27)</f>
        <v>EARL FERME DES ARUMS</v>
      </c>
      <c r="G27" s="73" t="s">
        <v>1079</v>
      </c>
      <c r="H27" s="73" t="s">
        <v>35</v>
      </c>
      <c r="I27" t="s">
        <v>1343</v>
      </c>
      <c r="J27" s="73" t="s">
        <v>1090</v>
      </c>
      <c r="K27" s="73" t="s">
        <v>39</v>
      </c>
      <c r="L27" t="str" cm="1">
        <f t="array" ref="L27">INDEX(AAA!C:C,AE27)</f>
        <v>PLAINE DES PALMISTES/ SAINTE ANNE</v>
      </c>
      <c r="M27" s="92" t="str" cm="1">
        <f t="array" ref="M27">INDEX(AAA!G:G,AE27)</f>
        <v>97490</v>
      </c>
      <c r="N27" s="92" t="str" cm="1">
        <f t="array" ref="N27">INDEX(AAA!B:B,AE27)</f>
        <v>C</v>
      </c>
      <c r="O27" s="73"/>
      <c r="P27" s="73"/>
      <c r="Q27" s="73"/>
      <c r="R27" s="73"/>
      <c r="S27" s="77" t="s">
        <v>1081</v>
      </c>
      <c r="AE27" s="73">
        <f t="shared" si="1"/>
        <v>59</v>
      </c>
    </row>
    <row r="28" spans="1:31" x14ac:dyDescent="0.2">
      <c r="A28" s="73" t="s">
        <v>982</v>
      </c>
      <c r="B28" s="74">
        <v>46122</v>
      </c>
      <c r="C28" s="73" t="str">
        <f t="shared" si="0"/>
        <v>Eco-antibio2</v>
      </c>
      <c r="D28">
        <v>93</v>
      </c>
      <c r="E28" cm="1">
        <f t="array" ref="E28">INDEX(AAA!D:D,AE28)</f>
        <v>98209034</v>
      </c>
      <c r="F28" s="73" t="str" cm="1">
        <f t="array" ref="F28">INDEX(AAA!A:A,AE28)</f>
        <v>EARL MOUNIAMA ET FILLE</v>
      </c>
      <c r="G28" t="s">
        <v>1082</v>
      </c>
      <c r="H28" s="73" t="s">
        <v>35</v>
      </c>
      <c r="I28" t="s">
        <v>1343</v>
      </c>
      <c r="J28" s="73" t="str" cm="1">
        <f t="array" ref="J28">INDEX(AAA!E:E,AE28)</f>
        <v>528 CHEMIN CANAL MOREAU</v>
      </c>
      <c r="K28" s="73" t="s">
        <v>39</v>
      </c>
      <c r="L28" t="str" cm="1">
        <f t="array" ref="L28">INDEX(AAA!C:C,AE28)</f>
        <v>SAINT ANDRE / SAINT BENOIT</v>
      </c>
      <c r="M28" s="92" t="str" cm="1">
        <f t="array" ref="M28">INDEX(AAA!G:G,AE28)</f>
        <v>97440</v>
      </c>
      <c r="N28" s="92" t="str" cm="1">
        <f t="array" ref="N28">INDEX(AAA!B:B,AE28)</f>
        <v>C</v>
      </c>
      <c r="S28" s="77" t="s">
        <v>1083</v>
      </c>
      <c r="AE28" s="73">
        <f t="shared" si="1"/>
        <v>93</v>
      </c>
    </row>
    <row r="29" spans="1:31" x14ac:dyDescent="0.2">
      <c r="A29" s="73" t="s">
        <v>983</v>
      </c>
      <c r="B29" s="74">
        <v>46122</v>
      </c>
      <c r="C29" s="73" t="str">
        <f t="shared" si="0"/>
        <v>Eco-antibio2</v>
      </c>
      <c r="D29">
        <v>11</v>
      </c>
      <c r="E29" cm="1">
        <f t="array" ref="E29">INDEX(AAA!D:D,AE29)</f>
        <v>98009108</v>
      </c>
      <c r="F29" s="73" t="str" cm="1">
        <f t="array" ref="F29">INDEX(AAA!A:A,AE29)</f>
        <v>BANOUBIE RENE</v>
      </c>
      <c r="G29" t="s">
        <v>1084</v>
      </c>
      <c r="H29" s="73" t="s">
        <v>35</v>
      </c>
      <c r="I29" t="s">
        <v>1343</v>
      </c>
      <c r="J29" s="73" t="str" cm="1">
        <f t="array" ref="J29">INDEX(AAA!E:E,AE29)</f>
        <v>123 ALLEE ZELMAR</v>
      </c>
      <c r="K29" s="73" t="s">
        <v>39</v>
      </c>
      <c r="L29" t="str" cm="1">
        <f t="array" ref="L29">INDEX(AAA!C:C,AE29)</f>
        <v>SAINT ANDRE / SAINT BENOIT</v>
      </c>
      <c r="M29" s="92" t="str" cm="1">
        <f t="array" ref="M29">INDEX(AAA!G:G,AE29)</f>
        <v>97440</v>
      </c>
      <c r="N29" s="92" t="str" cm="1">
        <f t="array" ref="N29">INDEX(AAA!B:B,AE29)</f>
        <v>C</v>
      </c>
      <c r="S29" s="73" t="str" cm="1">
        <f t="array" ref="S29">INDEX(AAA!L:L,AE29)</f>
        <v>rene.banoubie@gmail.com</v>
      </c>
      <c r="AE29" s="73">
        <f t="shared" si="1"/>
        <v>11</v>
      </c>
    </row>
    <row r="30" spans="1:31" x14ac:dyDescent="0.2">
      <c r="A30" s="73" t="s">
        <v>984</v>
      </c>
      <c r="B30" s="74">
        <v>46122</v>
      </c>
      <c r="C30" s="73" t="str">
        <f t="shared" si="0"/>
        <v>Eco-antibio2</v>
      </c>
      <c r="D30">
        <v>71</v>
      </c>
      <c r="E30" cm="1">
        <f t="array" ref="E30">INDEX(AAA!D:D,AE30)</f>
        <v>98009287</v>
      </c>
      <c r="F30" s="73" t="str" cm="1">
        <f t="array" ref="F30">INDEX(AAA!A:A,AE30)</f>
        <v>EARL LA PARINTA ( ex: SELLIN YVETTE)</v>
      </c>
      <c r="G30" s="73" t="s">
        <v>1085</v>
      </c>
      <c r="H30" s="73" t="s">
        <v>35</v>
      </c>
      <c r="I30" t="s">
        <v>1343</v>
      </c>
      <c r="J30" s="73" t="s">
        <v>1093</v>
      </c>
      <c r="K30" s="73" t="s">
        <v>39</v>
      </c>
      <c r="L30" t="str" cm="1">
        <f t="array" ref="L30">INDEX(AAA!C:C,AE30)</f>
        <v>SAINT ANDRE / SAINT BENOIT</v>
      </c>
      <c r="M30" s="92" t="str" cm="1">
        <f t="array" ref="M30">INDEX(AAA!G:G,AE30)</f>
        <v>97440</v>
      </c>
      <c r="N30" s="92" t="str" cm="1">
        <f t="array" ref="N30">INDEX(AAA!B:B,AE30)</f>
        <v>C</v>
      </c>
      <c r="O30" s="73"/>
      <c r="P30" s="73"/>
      <c r="Q30" s="73"/>
      <c r="R30" s="73"/>
      <c r="S30" s="73" t="s">
        <v>1086</v>
      </c>
      <c r="AE30" s="73">
        <f t="shared" si="1"/>
        <v>71</v>
      </c>
    </row>
    <row r="31" spans="1:31" x14ac:dyDescent="0.2">
      <c r="A31" s="73" t="s">
        <v>985</v>
      </c>
      <c r="B31" s="74">
        <v>46122</v>
      </c>
      <c r="C31" s="73" t="str">
        <f t="shared" si="0"/>
        <v>Eco-antibio2</v>
      </c>
      <c r="D31">
        <v>119</v>
      </c>
      <c r="E31" cm="1">
        <f t="array" ref="E31">INDEX(AAA!D:D,AE31)</f>
        <v>98009107</v>
      </c>
      <c r="F31" s="73" t="s">
        <v>1088</v>
      </c>
      <c r="G31" t="s">
        <v>1089</v>
      </c>
      <c r="H31" s="73" t="s">
        <v>35</v>
      </c>
      <c r="I31" t="s">
        <v>1343</v>
      </c>
      <c r="J31" s="73" t="str" cm="1">
        <f t="array" ref="J31">INDEX(AAA!E:E,AE31)</f>
        <v>356 CH VALENTIN</v>
      </c>
      <c r="K31" s="73" t="s">
        <v>39</v>
      </c>
      <c r="L31" t="str" cm="1">
        <f t="array" ref="L31">INDEX(AAA!C:C,AE31)</f>
        <v>SAINT ANDRE / SAINT BENOIT</v>
      </c>
      <c r="M31" s="92" cm="1">
        <f t="array" ref="M31">INDEX(AAA!G:G,AE31)</f>
        <v>97440</v>
      </c>
      <c r="N31" s="92" t="str" cm="1">
        <f t="array" ref="N31">INDEX(AAA!B:B,AE31)</f>
        <v>I</v>
      </c>
      <c r="S31" s="73" t="str" cm="1">
        <f t="array" ref="S31">INDEX(AAA!L:L,AE31)</f>
        <v>elodievivienne.grondin@gmail.com</v>
      </c>
      <c r="AE31" s="73">
        <f t="shared" si="1"/>
        <v>119</v>
      </c>
    </row>
    <row r="32" spans="1:31" x14ac:dyDescent="0.2">
      <c r="A32" s="75" t="s">
        <v>1096</v>
      </c>
      <c r="B32" s="74">
        <v>46154</v>
      </c>
      <c r="C32" s="73" t="str">
        <f>C30</f>
        <v>Eco-antibio2</v>
      </c>
      <c r="D32">
        <v>118</v>
      </c>
      <c r="E32" cm="1">
        <f t="array" ref="E32">INDEX(AAA!D:D,AE32)</f>
        <v>98021728</v>
      </c>
      <c r="F32" s="73" t="s">
        <v>1087</v>
      </c>
      <c r="G32" t="s">
        <v>1089</v>
      </c>
      <c r="H32" s="73" t="s">
        <v>35</v>
      </c>
      <c r="I32" t="s">
        <v>1343</v>
      </c>
      <c r="J32" s="73" t="s">
        <v>1165</v>
      </c>
      <c r="K32" s="73" t="s">
        <v>39</v>
      </c>
      <c r="L32" t="str" cm="1">
        <f t="array" ref="L32">INDEX(AAA!C:C,AE32)</f>
        <v>SALAZIE</v>
      </c>
      <c r="M32" s="92" cm="1">
        <f t="array" ref="M32">INDEX(AAA!G:G,AE32)</f>
        <v>97440</v>
      </c>
      <c r="N32" s="92" t="str" cm="1">
        <f t="array" ref="N32">INDEX(AAA!B:B,AE32)</f>
        <v>I</v>
      </c>
      <c r="S32" s="73" t="str" cm="1">
        <f t="array" ref="S32">INDEX(AAA!L:L,AE32)</f>
        <v>elodievivienne.grondin@gmail.com</v>
      </c>
      <c r="AE32" s="73">
        <f t="shared" si="1"/>
        <v>118</v>
      </c>
    </row>
    <row r="33" spans="1:31" x14ac:dyDescent="0.2">
      <c r="A33" s="73" t="s">
        <v>986</v>
      </c>
      <c r="B33" s="74">
        <v>46122</v>
      </c>
      <c r="C33" s="73" t="str">
        <f t="shared" si="0"/>
        <v>Eco-antibio2</v>
      </c>
      <c r="D33">
        <v>77</v>
      </c>
      <c r="E33" cm="1">
        <f t="array" ref="E33">INDEX(AAA!D:D,AE33)</f>
        <v>98102014</v>
      </c>
      <c r="F33" s="73" t="s">
        <v>1094</v>
      </c>
      <c r="G33" t="s">
        <v>1091</v>
      </c>
      <c r="H33" s="73" t="s">
        <v>35</v>
      </c>
      <c r="I33" t="s">
        <v>1343</v>
      </c>
      <c r="J33" s="73" t="s">
        <v>1092</v>
      </c>
      <c r="K33" s="73" t="s">
        <v>39</v>
      </c>
      <c r="L33" t="str" cm="1">
        <f t="array" ref="L33">INDEX(AAA!C:C,AE33)</f>
        <v>SAINT ANDRE / SAINT BENOIT</v>
      </c>
      <c r="M33" s="92">
        <v>97412</v>
      </c>
      <c r="N33" s="92" t="str" cm="1">
        <f t="array" ref="N33">INDEX(AAA!B:B,AE33)</f>
        <v>C</v>
      </c>
      <c r="S33" s="77" t="s">
        <v>1095</v>
      </c>
      <c r="AE33" s="73">
        <f t="shared" si="1"/>
        <v>77</v>
      </c>
    </row>
    <row r="34" spans="1:31" x14ac:dyDescent="0.2">
      <c r="A34" s="73" t="s">
        <v>987</v>
      </c>
      <c r="B34" s="74">
        <v>46125</v>
      </c>
      <c r="C34" s="73" t="str">
        <f t="shared" si="0"/>
        <v>Eco-antibio2</v>
      </c>
      <c r="D34">
        <v>58</v>
      </c>
      <c r="E34" cm="1">
        <f t="array" ref="E34">INDEX(AAA!D:D,AE34)</f>
        <v>98004063</v>
      </c>
      <c r="F34" s="73" t="str" cm="1">
        <f t="array" ref="F34">INDEX(AAA!A:A,AE34)</f>
        <v>EARL DU CAP</v>
      </c>
      <c r="G34" s="73" t="s">
        <v>1097</v>
      </c>
      <c r="H34" s="73" t="s">
        <v>35</v>
      </c>
      <c r="I34" t="s">
        <v>1343</v>
      </c>
      <c r="J34" s="73" t="s">
        <v>1098</v>
      </c>
      <c r="K34" s="73" t="s">
        <v>39</v>
      </c>
      <c r="L34" t="str" cm="1">
        <f t="array" ref="L34">INDEX(AAA!C:C,AE34)</f>
        <v>ETANG SALE/SAINT LOUIS</v>
      </c>
      <c r="M34" s="92" t="str" cm="1">
        <f t="array" ref="M34">INDEX(AAA!G:G,AE34)</f>
        <v>97427</v>
      </c>
      <c r="N34" s="92" t="str" cm="1">
        <f t="array" ref="N34">INDEX(AAA!B:B,AE34)</f>
        <v>C</v>
      </c>
      <c r="O34" s="73"/>
      <c r="P34" s="73"/>
      <c r="Q34" s="73"/>
      <c r="R34" s="73"/>
      <c r="S34" s="73" t="str" cm="1">
        <f t="array" ref="S34">INDEX(AAA!L:L,AE34)</f>
        <v>david.sanassy@hotmail.fr</v>
      </c>
      <c r="AE34" s="73">
        <f t="shared" si="1"/>
        <v>58</v>
      </c>
    </row>
    <row r="35" spans="1:31" x14ac:dyDescent="0.2">
      <c r="A35" s="73" t="s">
        <v>988</v>
      </c>
      <c r="B35" s="74">
        <v>46125</v>
      </c>
      <c r="C35" s="73" t="str">
        <f t="shared" si="0"/>
        <v>Eco-antibio2</v>
      </c>
      <c r="D35">
        <v>66</v>
      </c>
      <c r="E35" cm="1">
        <f t="array" ref="E35">INDEX(AAA!D:D,AE35)</f>
        <v>98004111</v>
      </c>
      <c r="F35" s="73" t="s">
        <v>1100</v>
      </c>
      <c r="G35" t="s">
        <v>1101</v>
      </c>
      <c r="H35" s="73" t="s">
        <v>35</v>
      </c>
      <c r="I35" t="s">
        <v>1343</v>
      </c>
      <c r="J35" s="73" t="str" cm="1">
        <f t="array" ref="J35">INDEX(AAA!E:E,AE35)</f>
        <v>39 CHEMIN MANIRON</v>
      </c>
      <c r="K35" s="73" t="s">
        <v>39</v>
      </c>
      <c r="L35" t="str" cm="1">
        <f t="array" ref="L35">INDEX(AAA!C:C,AE35)</f>
        <v>ETANG SALE/SAINT LOUIS</v>
      </c>
      <c r="M35" s="92" t="str" cm="1">
        <f t="array" ref="M35">INDEX(AAA!G:G,AE35)</f>
        <v>97427</v>
      </c>
      <c r="N35" s="92" t="str" cm="1">
        <f t="array" ref="N35">INDEX(AAA!B:B,AE35)</f>
        <v>C</v>
      </c>
      <c r="S35" s="73" t="str" cm="1">
        <f t="array" ref="S35">INDEX(AAA!L:L,AE35)</f>
        <v>fortunegrosset@gmail.com</v>
      </c>
      <c r="AE35" s="73">
        <f t="shared" si="1"/>
        <v>66</v>
      </c>
    </row>
    <row r="36" spans="1:31" x14ac:dyDescent="0.2">
      <c r="A36" s="73" t="s">
        <v>989</v>
      </c>
      <c r="B36" s="74">
        <v>46128</v>
      </c>
      <c r="C36" s="73" t="str">
        <f t="shared" si="0"/>
        <v>Eco-antibio2</v>
      </c>
      <c r="D36">
        <v>54</v>
      </c>
      <c r="E36" cm="1">
        <f t="array" ref="E36">INDEX(AAA!D:D,AE36)</f>
        <v>98214113</v>
      </c>
      <c r="F36" s="73" t="str" cm="1">
        <f t="array" ref="F36">INDEX(AAA!A:A,AE36)</f>
        <v>EARL DES FLAMBOYANTS</v>
      </c>
      <c r="G36" t="s">
        <v>1102</v>
      </c>
      <c r="H36" s="73" t="s">
        <v>35</v>
      </c>
      <c r="I36" t="s">
        <v>1343</v>
      </c>
      <c r="J36" s="73" t="str" cm="1">
        <f t="array" ref="J36">INDEX(AAA!E:E,AE36)</f>
        <v>48 CHEMIN DEJEAN</v>
      </c>
      <c r="K36" s="73" t="s">
        <v>39</v>
      </c>
      <c r="L36" t="str" cm="1">
        <f t="array" ref="L36">INDEX(AAA!C:C,AE36)</f>
        <v>ETANG SALE/SAINT LOUIS</v>
      </c>
      <c r="M36" s="92" t="str" cm="1">
        <f t="array" ref="M36">INDEX(AAA!G:G,AE36)</f>
        <v>97421</v>
      </c>
      <c r="N36" s="92" t="str" cm="1">
        <f t="array" ref="N36">INDEX(AAA!B:B,AE36)</f>
        <v>C</v>
      </c>
      <c r="S36" s="73" t="str" cm="1">
        <f t="array" ref="S36">INDEX(AAA!L:L,AE36)</f>
        <v>mariedanielle.noel@outlook.fr</v>
      </c>
      <c r="AE36" s="73">
        <f t="shared" si="1"/>
        <v>54</v>
      </c>
    </row>
    <row r="37" spans="1:31" x14ac:dyDescent="0.2">
      <c r="A37" s="73" t="s">
        <v>990</v>
      </c>
      <c r="B37" s="74">
        <v>46128</v>
      </c>
      <c r="C37" s="73" t="str">
        <f t="shared" si="0"/>
        <v>Eco-antibio2</v>
      </c>
      <c r="D37">
        <v>134</v>
      </c>
      <c r="E37" cm="1">
        <f t="array" ref="E37">INDEX(AAA!D:D,AE37)</f>
        <v>98214274</v>
      </c>
      <c r="F37" s="73" t="str" cm="1">
        <f t="array" ref="F37">INDEX(AAA!A:A,AE37)</f>
        <v>LIONI MAXIMIN</v>
      </c>
      <c r="G37" s="73" t="s">
        <v>1103</v>
      </c>
      <c r="H37" s="73" t="s">
        <v>35</v>
      </c>
      <c r="I37" t="s">
        <v>1343</v>
      </c>
      <c r="J37" s="73" t="str" cm="1">
        <f t="array" ref="J37">INDEX(AAA!E:E,AE37)</f>
        <v>57 BIS RUE JULIETTE DODU</v>
      </c>
      <c r="K37" s="73" t="s">
        <v>39</v>
      </c>
      <c r="L37" t="str" cm="1">
        <f t="array" ref="L37">INDEX(AAA!C:C,AE37)</f>
        <v>ETANG SALE/SAINT LOUIS</v>
      </c>
      <c r="M37" s="92" t="str" cm="1">
        <f t="array" ref="M37">INDEX(AAA!G:G,AE37)</f>
        <v>97421</v>
      </c>
      <c r="N37" s="92" t="str" cm="1">
        <f t="array" ref="N37">INDEX(AAA!B:B,AE37)</f>
        <v>C</v>
      </c>
      <c r="O37" s="73"/>
      <c r="P37" s="73"/>
      <c r="Q37" s="73"/>
      <c r="R37" s="73"/>
      <c r="S37" s="73" t="str" cm="1">
        <f t="array" ref="S37">INDEX(AAA!L:L,AE37)</f>
        <v>maximinlioni@gmail.com</v>
      </c>
      <c r="AE37" s="73">
        <f t="shared" si="1"/>
        <v>134</v>
      </c>
    </row>
    <row r="38" spans="1:31" x14ac:dyDescent="0.2">
      <c r="A38" s="73" t="s">
        <v>991</v>
      </c>
      <c r="B38" s="74">
        <v>46128</v>
      </c>
      <c r="C38" s="73" t="str">
        <f t="shared" si="0"/>
        <v>Eco-antibio2</v>
      </c>
      <c r="D38">
        <v>53</v>
      </c>
      <c r="E38" cm="1">
        <f t="array" ref="E38">INDEX(AAA!D:D,AE38)</f>
        <v>98114008</v>
      </c>
      <c r="F38" s="73" t="str" cm="1">
        <f t="array" ref="F38">INDEX(AAA!A:A,AE38)</f>
        <v>EARL DE MONT PLAISIR</v>
      </c>
      <c r="G38" t="s">
        <v>1104</v>
      </c>
      <c r="H38" s="73" t="s">
        <v>35</v>
      </c>
      <c r="I38" t="s">
        <v>1343</v>
      </c>
      <c r="J38" s="73" t="str" cm="1">
        <f t="array" ref="J38">INDEX(AAA!E:E,AE38)</f>
        <v xml:space="preserve">30 CHEMIN BON ACCEUIL - LES MAKES </v>
      </c>
      <c r="K38" s="73" t="s">
        <v>39</v>
      </c>
      <c r="L38" t="str" cm="1">
        <f t="array" ref="L38">INDEX(AAA!C:C,AE38)</f>
        <v>ETANG SALE/SAINT LOUIS</v>
      </c>
      <c r="M38" s="92" cm="1">
        <f t="array" ref="M38">INDEX(AAA!G:G,AE38)</f>
        <v>97421</v>
      </c>
      <c r="N38" s="92" t="str" cm="1">
        <f t="array" ref="N38">INDEX(AAA!B:B,AE38)</f>
        <v>I</v>
      </c>
      <c r="S38" s="77" t="s">
        <v>1105</v>
      </c>
      <c r="AE38" s="73">
        <f t="shared" si="1"/>
        <v>53</v>
      </c>
    </row>
    <row r="39" spans="1:31" x14ac:dyDescent="0.2">
      <c r="A39" s="73" t="s">
        <v>992</v>
      </c>
      <c r="B39" s="74">
        <v>46128</v>
      </c>
      <c r="C39" s="73" t="str">
        <f t="shared" si="0"/>
        <v>Eco-antibio2</v>
      </c>
      <c r="D39">
        <v>45</v>
      </c>
      <c r="E39" cm="1">
        <f t="array" ref="E39">INDEX(AAA!D:D,AE39)</f>
        <v>98214112</v>
      </c>
      <c r="F39" s="73" t="s">
        <v>1106</v>
      </c>
      <c r="G39" t="s">
        <v>1107</v>
      </c>
      <c r="H39" s="73" t="s">
        <v>35</v>
      </c>
      <c r="I39" t="s">
        <v>1343</v>
      </c>
      <c r="J39" s="73" t="str" cm="1">
        <f t="array" ref="J39">INDEX(AAA!E:E,AE39)</f>
        <v>2B RUE LISLET GEOFFROY</v>
      </c>
      <c r="K39" s="73" t="s">
        <v>39</v>
      </c>
      <c r="L39" t="str" cm="1">
        <f t="array" ref="L39">INDEX(AAA!C:C,AE39)</f>
        <v>ETANG SALE/SAINT LOUIS</v>
      </c>
      <c r="M39" s="92" t="str" cm="1">
        <f t="array" ref="M39">INDEX(AAA!G:G,AE39)</f>
        <v>97421</v>
      </c>
      <c r="N39" s="92" t="str" cm="1">
        <f t="array" ref="N39">INDEX(AAA!B:B,AE39)</f>
        <v>C</v>
      </c>
      <c r="S39" s="73" t="str" cm="1">
        <f t="array" ref="S39">INDEX(AAA!L:L,AE39)</f>
        <v>danielrog@wanadoo.fr</v>
      </c>
      <c r="AE39" s="73">
        <f t="shared" si="1"/>
        <v>45</v>
      </c>
    </row>
    <row r="40" spans="1:31" x14ac:dyDescent="0.2">
      <c r="A40" s="75" t="s">
        <v>993</v>
      </c>
      <c r="B40" s="74">
        <v>46129</v>
      </c>
      <c r="C40" s="73" t="str">
        <f t="shared" si="0"/>
        <v>Eco-antibio2</v>
      </c>
      <c r="D40">
        <v>149</v>
      </c>
      <c r="E40" cm="1">
        <f t="array" ref="E40">INDEX(AAA!D:D,AE40)</f>
        <v>98212047</v>
      </c>
      <c r="F40" s="73" t="str" cm="1">
        <f t="array" ref="F40">INDEX(AAA!A:A,AE40)</f>
        <v>ROBERT HENRI</v>
      </c>
      <c r="G40" t="s">
        <v>1108</v>
      </c>
      <c r="H40" s="73" t="s">
        <v>35</v>
      </c>
      <c r="I40" t="s">
        <v>1343</v>
      </c>
      <c r="J40" s="73" t="str" cm="1">
        <f t="array" ref="J40">INDEX(AAA!E:E,AE40)</f>
        <v>17 CHEMIN DES GLYCINES</v>
      </c>
      <c r="K40" s="73" t="s">
        <v>39</v>
      </c>
      <c r="L40" t="str" cm="1">
        <f t="array" ref="L40">INDEX(AAA!C:C,AE40)</f>
        <v>SAINT JOSEPH</v>
      </c>
      <c r="M40" s="92" t="str" cm="1">
        <f t="array" ref="M40">INDEX(AAA!G:G,AE40)</f>
        <v>97480</v>
      </c>
      <c r="N40" s="92" t="str" cm="1">
        <f t="array" ref="N40">INDEX(AAA!B:B,AE40)</f>
        <v>C</v>
      </c>
      <c r="S40" s="77" t="s">
        <v>1109</v>
      </c>
      <c r="AE40" s="73">
        <f t="shared" si="1"/>
        <v>149</v>
      </c>
    </row>
    <row r="41" spans="1:31" x14ac:dyDescent="0.2">
      <c r="A41" s="73" t="s">
        <v>994</v>
      </c>
      <c r="B41" s="74">
        <v>46129</v>
      </c>
      <c r="C41" s="73" t="str">
        <f t="shared" si="0"/>
        <v>Eco-antibio2</v>
      </c>
      <c r="D41">
        <v>123</v>
      </c>
      <c r="E41" cm="1">
        <f t="array" ref="E41">INDEX(AAA!D:D,AE41)</f>
        <v>98212161</v>
      </c>
      <c r="F41" s="73" t="str" cm="1">
        <f t="array" ref="F41">INDEX(AAA!A:A,AE41)</f>
        <v>HOAREAU JOHNY (ex Hoareau Marie Anise)</v>
      </c>
      <c r="G41" t="s">
        <v>1110</v>
      </c>
      <c r="H41" s="73" t="s">
        <v>35</v>
      </c>
      <c r="I41" t="s">
        <v>1343</v>
      </c>
      <c r="J41" s="73" t="str" cm="1">
        <f t="array" ref="J41">INDEX(AAA!E:E,AE41)</f>
        <v>45 RUE LEON JEANNETTE</v>
      </c>
      <c r="K41" s="73" t="s">
        <v>39</v>
      </c>
      <c r="L41" t="str" cm="1">
        <f t="array" ref="L41">INDEX(AAA!C:C,AE41)</f>
        <v>SAINT JOSEPH</v>
      </c>
      <c r="M41" s="92" t="str" cm="1">
        <f t="array" ref="M41">INDEX(AAA!G:G,AE41)</f>
        <v>97480</v>
      </c>
      <c r="N41" s="92" t="str" cm="1">
        <f t="array" ref="N41">INDEX(AAA!B:B,AE41)</f>
        <v>I</v>
      </c>
      <c r="S41" s="73" t="str" cm="1">
        <f t="array" ref="S41">INDEX(AAA!L:L,AE41)</f>
        <v>johnnyhoareau778@gmail.com</v>
      </c>
      <c r="AE41" s="73">
        <f t="shared" si="1"/>
        <v>123</v>
      </c>
    </row>
    <row r="42" spans="1:31" x14ac:dyDescent="0.2">
      <c r="A42" s="73" t="s">
        <v>995</v>
      </c>
      <c r="B42" s="74">
        <v>46139</v>
      </c>
      <c r="C42" s="73" t="str">
        <f t="shared" si="0"/>
        <v>Eco-antibio2</v>
      </c>
      <c r="D42">
        <v>111</v>
      </c>
      <c r="E42" cm="1">
        <f t="array" ref="E42">INDEX(AAA!D:D,AE42)</f>
        <v>98012238</v>
      </c>
      <c r="F42" s="73" t="s">
        <v>1111</v>
      </c>
      <c r="G42" t="s">
        <v>1125</v>
      </c>
      <c r="H42" s="73" t="s">
        <v>35</v>
      </c>
      <c r="I42" t="s">
        <v>1343</v>
      </c>
      <c r="J42" s="73" t="str" cm="1">
        <f t="array" ref="J42">INDEX(AAA!E:E,AE42)</f>
        <v>11 IMPASSE BIGARADE</v>
      </c>
      <c r="K42" s="73" t="s">
        <v>39</v>
      </c>
      <c r="L42" t="str" cm="1">
        <f t="array" ref="L42">INDEX(AAA!C:C,AE42)</f>
        <v>SAINT JOSEPH</v>
      </c>
      <c r="M42" s="92" t="str" cm="1">
        <f t="array" ref="M42">INDEX(AAA!G:G,AE42)</f>
        <v>97480</v>
      </c>
      <c r="N42" s="92" t="str" cm="1">
        <f t="array" ref="N42">INDEX(AAA!B:B,AE42)</f>
        <v>C</v>
      </c>
      <c r="S42" s="77" t="s">
        <v>1115</v>
      </c>
      <c r="AE42" s="73">
        <f t="shared" si="1"/>
        <v>111</v>
      </c>
    </row>
    <row r="43" spans="1:31" x14ac:dyDescent="0.2">
      <c r="A43" s="73" t="s">
        <v>996</v>
      </c>
      <c r="B43" s="74">
        <v>46139</v>
      </c>
      <c r="C43" s="73" t="str">
        <f t="shared" si="0"/>
        <v>Eco-antibio2</v>
      </c>
      <c r="D43">
        <v>13</v>
      </c>
      <c r="E43" cm="1">
        <f t="array" ref="E43">INDEX(AAA!D:D,AE43)</f>
        <v>98012003</v>
      </c>
      <c r="F43" s="73" t="s">
        <v>1112</v>
      </c>
      <c r="G43" t="s">
        <v>1113</v>
      </c>
      <c r="H43" s="73" t="s">
        <v>35</v>
      </c>
      <c r="I43" t="s">
        <v>1343</v>
      </c>
      <c r="J43" s="73" t="str" cm="1">
        <f t="array" ref="J43">INDEX(AAA!E:E,AE43)</f>
        <v>23 RUE FRANCOIS MAURIAC</v>
      </c>
      <c r="K43" s="73" t="s">
        <v>39</v>
      </c>
      <c r="L43" t="str" cm="1">
        <f t="array" ref="L43">INDEX(AAA!C:C,AE43)</f>
        <v>SAINT JOSEPH</v>
      </c>
      <c r="M43" s="92" t="str" cm="1">
        <f t="array" ref="M43">INDEX(AAA!G:G,AE43)</f>
        <v>97480</v>
      </c>
      <c r="N43" s="92" t="str" cm="1">
        <f t="array" ref="N43">INDEX(AAA!B:B,AE43)</f>
        <v>C</v>
      </c>
      <c r="S43" s="77" t="s">
        <v>1114</v>
      </c>
      <c r="AE43" s="73">
        <f t="shared" si="1"/>
        <v>13</v>
      </c>
    </row>
    <row r="44" spans="1:31" x14ac:dyDescent="0.2">
      <c r="A44" s="73" t="s">
        <v>997</v>
      </c>
      <c r="B44" s="74">
        <v>46139</v>
      </c>
      <c r="C44" s="73" t="str">
        <f t="shared" si="0"/>
        <v>Eco-antibio2</v>
      </c>
      <c r="D44">
        <v>3</v>
      </c>
      <c r="E44" cm="1">
        <f t="array" ref="E44">INDEX(AAA!D:D,AE44)</f>
        <v>98012239</v>
      </c>
      <c r="F44" s="73" t="str" cm="1">
        <f t="array" ref="F44">INDEX(AAA!A:A,AE44)</f>
        <v xml:space="preserve">
ALAGUIRISAMY JOHAN (ex: MOREL LUC)</v>
      </c>
      <c r="G44" t="s">
        <v>1116</v>
      </c>
      <c r="H44" s="73" t="s">
        <v>35</v>
      </c>
      <c r="I44" t="s">
        <v>1343</v>
      </c>
      <c r="J44" s="73" t="str" cm="1">
        <f t="array" ref="J44">INDEX(AAA!E:E,AE44)</f>
        <v>35 RUE DES OIGNONS</v>
      </c>
      <c r="K44" s="73" t="s">
        <v>39</v>
      </c>
      <c r="L44" t="str" cm="1">
        <f t="array" ref="L44">INDEX(AAA!C:C,AE44)</f>
        <v>SAINT JOSEPH</v>
      </c>
      <c r="M44" s="92" cm="1">
        <f t="array" ref="M44">INDEX(AAA!G:G,AE44)</f>
        <v>97480</v>
      </c>
      <c r="N44" s="92" t="str" cm="1">
        <f t="array" ref="N44">INDEX(AAA!B:B,AE44)</f>
        <v>I</v>
      </c>
      <c r="S44" s="73" t="str" cm="1">
        <f t="array" ref="S44">INDEX(AAA!L:L,AE44)</f>
        <v>johanalaguirisamy@gmail.com</v>
      </c>
      <c r="AE44" s="73">
        <f t="shared" si="1"/>
        <v>3</v>
      </c>
    </row>
    <row r="45" spans="1:31" x14ac:dyDescent="0.2">
      <c r="A45" s="73" t="s">
        <v>998</v>
      </c>
      <c r="B45" s="74">
        <v>46139</v>
      </c>
      <c r="C45" s="73" t="str">
        <f t="shared" si="0"/>
        <v>Eco-antibio2</v>
      </c>
      <c r="D45">
        <v>163</v>
      </c>
      <c r="E45" cm="1">
        <f t="array" ref="E45">INDEX(AAA!D:D,AE45)</f>
        <v>98212186</v>
      </c>
      <c r="F45" s="73" t="str" cm="1">
        <f t="array" ref="F45">INDEX(AAA!A:A,AE45)</f>
        <v>SCEA FOLIO</v>
      </c>
      <c r="G45" t="s">
        <v>1117</v>
      </c>
      <c r="H45" s="73" t="s">
        <v>35</v>
      </c>
      <c r="I45" t="s">
        <v>1343</v>
      </c>
      <c r="J45" s="73" t="str" cm="1">
        <f t="array" ref="J45">INDEX(AAA!E:E,AE45)</f>
        <v>48 RUE BORY DE SAINT VINCENT</v>
      </c>
      <c r="K45" s="73" t="s">
        <v>39</v>
      </c>
      <c r="L45" t="str" cm="1">
        <f t="array" ref="L45">INDEX(AAA!C:C,AE45)</f>
        <v>SAINT JOSEPH</v>
      </c>
      <c r="M45" s="92" t="str" cm="1">
        <f t="array" ref="M45">INDEX(AAA!G:G,AE45)</f>
        <v>97480</v>
      </c>
      <c r="N45" s="92" t="str" cm="1">
        <f t="array" ref="N45">INDEX(AAA!B:B,AE45)</f>
        <v>C</v>
      </c>
      <c r="S45" s="73" t="str" cm="1">
        <f t="array" ref="S45">INDEX(AAA!L:L,AE45)</f>
        <v>nifolio@gmail.com</v>
      </c>
      <c r="AE45" s="73">
        <f t="shared" si="1"/>
        <v>163</v>
      </c>
    </row>
    <row r="46" spans="1:31" x14ac:dyDescent="0.2">
      <c r="A46" s="73" t="s">
        <v>999</v>
      </c>
      <c r="B46" s="74">
        <v>46139</v>
      </c>
      <c r="C46" s="73" t="str">
        <f t="shared" si="0"/>
        <v>Eco-antibio2</v>
      </c>
      <c r="D46">
        <v>133</v>
      </c>
      <c r="E46" cm="1">
        <f t="array" ref="E46">INDEX(AAA!D:D,AE46)</f>
        <v>98013094</v>
      </c>
      <c r="F46" s="73" t="str" cm="1">
        <f t="array" ref="F46">INDEX(AAA!A:A,AE46)</f>
        <v xml:space="preserve">LIANG LANG HU JULIEN </v>
      </c>
      <c r="G46" t="s">
        <v>1118</v>
      </c>
      <c r="H46" s="73" t="s">
        <v>35</v>
      </c>
      <c r="I46" t="s">
        <v>1343</v>
      </c>
      <c r="J46" s="73" t="str" cm="1">
        <f t="array" ref="J46">INDEX(AAA!E:E,AE46)</f>
        <v>65 rue Georges Pompidou</v>
      </c>
      <c r="K46" s="73" t="s">
        <v>39</v>
      </c>
      <c r="L46" t="str" cm="1">
        <f t="array" ref="L46">INDEX(AAA!C:C,AE46)</f>
        <v>AVIRONS/ SAINT LEU</v>
      </c>
      <c r="M46" s="92" cm="1">
        <f t="array" ref="M46">INDEX(AAA!G:G,AE46)</f>
        <v>0</v>
      </c>
      <c r="N46" s="92" t="str" cm="1">
        <f t="array" ref="N46">INDEX(AAA!B:B,AE46)</f>
        <v>IPA</v>
      </c>
      <c r="S46" s="73" cm="1">
        <f t="array" ref="S46">INDEX(AAA!L:L,AE46)</f>
        <v>0</v>
      </c>
      <c r="AE46" s="73">
        <f t="shared" si="1"/>
        <v>133</v>
      </c>
    </row>
    <row r="47" spans="1:31" x14ac:dyDescent="0.2">
      <c r="A47" s="73" t="s">
        <v>1000</v>
      </c>
      <c r="B47" s="74">
        <v>46141</v>
      </c>
      <c r="C47" s="73" t="str">
        <f t="shared" si="0"/>
        <v>Eco-antibio2</v>
      </c>
      <c r="D47">
        <v>63</v>
      </c>
      <c r="E47" cm="1">
        <f t="array" ref="E47">INDEX(AAA!D:D,AE47)</f>
        <v>98005121</v>
      </c>
      <c r="F47" s="73" t="str" cm="1">
        <f t="array" ref="F47">INDEX(AAA!A:A,AE47)</f>
        <v>EARL GONTHIER</v>
      </c>
      <c r="G47" t="s">
        <v>1119</v>
      </c>
      <c r="H47" s="73" t="s">
        <v>35</v>
      </c>
      <c r="I47" t="s">
        <v>1343</v>
      </c>
      <c r="J47" s="73" t="str" cm="1">
        <f t="array" ref="J47">INDEX(AAA!E:E,AE47)</f>
        <v>106 CHEMIN DENIS LEVENEUR</v>
      </c>
      <c r="K47" s="73" t="s">
        <v>39</v>
      </c>
      <c r="L47" t="str" cm="1">
        <f t="array" ref="L47">INDEX(AAA!C:C,AE47)</f>
        <v>SAINT JOSEPH</v>
      </c>
      <c r="M47" s="92" t="str" cm="1">
        <f t="array" ref="M47">INDEX(AAA!G:G,AE47)</f>
        <v>97429</v>
      </c>
      <c r="N47" s="92" t="str" cm="1">
        <f t="array" ref="N47">INDEX(AAA!B:B,AE47)</f>
        <v>C</v>
      </c>
      <c r="S47" s="77" t="s">
        <v>1120</v>
      </c>
      <c r="AE47" s="73">
        <f t="shared" si="1"/>
        <v>63</v>
      </c>
    </row>
    <row r="48" spans="1:31" x14ac:dyDescent="0.2">
      <c r="A48" s="75" t="s">
        <v>1001</v>
      </c>
      <c r="B48" s="74">
        <v>46141</v>
      </c>
      <c r="C48" s="73" t="str">
        <f t="shared" si="0"/>
        <v>Eco-antibio2</v>
      </c>
      <c r="D48">
        <v>89</v>
      </c>
      <c r="E48" cm="1">
        <f t="array" ref="E48">INDEX(AAA!D:D,AE48)</f>
        <v>98005123</v>
      </c>
      <c r="F48" s="73" t="str" cm="1">
        <f t="array" ref="F48">INDEX(AAA!A:A,AE48)</f>
        <v>EARL LES TANGORS (ex Grondin Georget)</v>
      </c>
      <c r="G48" t="s">
        <v>1122</v>
      </c>
      <c r="H48" s="73" t="s">
        <v>35</v>
      </c>
      <c r="I48" t="s">
        <v>1343</v>
      </c>
      <c r="J48" s="73" t="str" cm="1">
        <f t="array" ref="J48">INDEX(AAA!E:E,AE48)</f>
        <v>19 ALLEE DES BAIES ROSES</v>
      </c>
      <c r="K48" s="73" t="s">
        <v>39</v>
      </c>
      <c r="L48" t="str" cm="1">
        <f t="array" ref="L48">INDEX(AAA!C:C,AE48)</f>
        <v>SAINT PIERRE / PETITE ILE</v>
      </c>
      <c r="M48" s="92" t="str" cm="1">
        <f t="array" ref="M48">INDEX(AAA!G:G,AE48)</f>
        <v>97429</v>
      </c>
      <c r="N48" s="92" t="str" cm="1">
        <f t="array" ref="N48">INDEX(AAA!B:B,AE48)</f>
        <v>C</v>
      </c>
      <c r="AE48" s="73">
        <f t="shared" si="1"/>
        <v>89</v>
      </c>
    </row>
    <row r="49" spans="1:31" x14ac:dyDescent="0.2">
      <c r="A49" s="73" t="s">
        <v>1002</v>
      </c>
      <c r="B49" s="74">
        <v>46141</v>
      </c>
      <c r="C49" s="73" t="str">
        <f t="shared" si="0"/>
        <v>Eco-antibio2</v>
      </c>
      <c r="D49">
        <v>50</v>
      </c>
      <c r="E49" cm="1">
        <f t="array" ref="E49">INDEX(AAA!D:D,AE49)</f>
        <v>98212256</v>
      </c>
      <c r="F49" s="73" t="s">
        <v>1121</v>
      </c>
      <c r="G49" t="s">
        <v>1124</v>
      </c>
      <c r="H49" s="73" t="s">
        <v>35</v>
      </c>
      <c r="I49" t="s">
        <v>1343</v>
      </c>
      <c r="J49" s="73" t="str" cm="1">
        <f t="array" ref="J49">INDEX(AAA!E:E,AE49)</f>
        <v>42 ROUTE DU BEL AIR</v>
      </c>
      <c r="K49" s="73" t="s">
        <v>39</v>
      </c>
      <c r="L49" t="str" cm="1">
        <f t="array" ref="L49">INDEX(AAA!C:C,AE49)</f>
        <v>SAINT JOSEPH</v>
      </c>
      <c r="M49" s="92" t="str" cm="1">
        <f t="array" ref="M49">INDEX(AAA!G:G,AE49)</f>
        <v>97480</v>
      </c>
      <c r="N49" s="92" t="str" cm="1">
        <f t="array" ref="N49">INDEX(AAA!B:B,AE49)</f>
        <v>C</v>
      </c>
      <c r="S49" s="73" t="str" cm="1">
        <f t="array" ref="S49">INDEX(AAA!L:L,AE49)</f>
        <v>morelphilippe99@gmail.com</v>
      </c>
      <c r="AE49" s="73">
        <f t="shared" si="1"/>
        <v>50</v>
      </c>
    </row>
    <row r="50" spans="1:31" x14ac:dyDescent="0.2">
      <c r="A50" s="73" t="s">
        <v>1003</v>
      </c>
      <c r="B50" s="74">
        <v>46141</v>
      </c>
      <c r="C50" s="73" t="str">
        <f t="shared" si="0"/>
        <v>Eco-antibio2</v>
      </c>
      <c r="D50">
        <v>75</v>
      </c>
      <c r="E50" cm="1">
        <f t="array" ref="E50">INDEX(AAA!D:D,AE50)</f>
        <v>98212200</v>
      </c>
      <c r="F50" s="73" t="str" cm="1">
        <f t="array" ref="F50">INDEX(AAA!A:A,AE50)</f>
        <v>EARL LE GROINCHEUX (ex NATIVEL RAYNALD)</v>
      </c>
      <c r="G50" t="s">
        <v>1123</v>
      </c>
      <c r="H50" s="73" t="s">
        <v>35</v>
      </c>
      <c r="I50" t="s">
        <v>1343</v>
      </c>
      <c r="J50" s="73" t="str" cm="1">
        <f t="array" ref="J50">INDEX(AAA!E:E,AE50)</f>
        <v>22 RUE JULES HOAREAU</v>
      </c>
      <c r="K50" s="73" t="s">
        <v>39</v>
      </c>
      <c r="L50" t="str" cm="1">
        <f t="array" ref="L50">INDEX(AAA!C:C,AE50)</f>
        <v>SAINT JOSEPH</v>
      </c>
      <c r="M50" s="92" t="str" cm="1">
        <f t="array" ref="M50">INDEX(AAA!G:G,AE50)</f>
        <v>97480</v>
      </c>
      <c r="N50" s="92" t="str" cm="1">
        <f t="array" ref="N50">INDEX(AAA!B:B,AE50)</f>
        <v>C</v>
      </c>
      <c r="S50" s="77" t="s">
        <v>1126</v>
      </c>
      <c r="AE50" s="73">
        <f t="shared" si="1"/>
        <v>75</v>
      </c>
    </row>
    <row r="51" spans="1:31" x14ac:dyDescent="0.2">
      <c r="A51" s="73" t="s">
        <v>1004</v>
      </c>
      <c r="B51" s="74">
        <v>46141</v>
      </c>
      <c r="C51" s="73" t="str">
        <f t="shared" si="0"/>
        <v>Eco-antibio2</v>
      </c>
      <c r="D51">
        <v>46</v>
      </c>
      <c r="E51" cm="1">
        <f t="array" ref="E51">INDEX(AAA!D:D,AE51)</f>
        <v>98114013</v>
      </c>
      <c r="F51" s="73" t="str" cm="1">
        <f t="array" ref="F51">INDEX(AAA!A:A,AE51)</f>
        <v>EARL CHAMAND</v>
      </c>
      <c r="G51" t="s">
        <v>1127</v>
      </c>
      <c r="H51" s="73" t="s">
        <v>35</v>
      </c>
      <c r="I51" t="s">
        <v>1343</v>
      </c>
      <c r="J51" s="73" t="str" cm="1">
        <f t="array" ref="J51">INDEX(AAA!E:E,AE51)</f>
        <v xml:space="preserve">47 CHEMIN BON ACCEUIL - LES MAKES </v>
      </c>
      <c r="K51" s="73" t="s">
        <v>39</v>
      </c>
      <c r="L51" t="str" cm="1">
        <f t="array" ref="L51">INDEX(AAA!C:C,AE51)</f>
        <v>ETANG SALE/SAINT LOUIS</v>
      </c>
      <c r="M51" s="92" cm="1">
        <f t="array" ref="M51">INDEX(AAA!G:G,AE51)</f>
        <v>97421</v>
      </c>
      <c r="N51" s="92" t="str" cm="1">
        <f t="array" ref="N51">INDEX(AAA!B:B,AE51)</f>
        <v>C</v>
      </c>
      <c r="S51" s="73" t="str" cm="1">
        <f t="array" ref="S51">INDEX(AAA!L:L,AE51)</f>
        <v>chamandexpedite@gmail.com</v>
      </c>
      <c r="AE51" s="73">
        <f t="shared" si="1"/>
        <v>46</v>
      </c>
    </row>
    <row r="52" spans="1:31" x14ac:dyDescent="0.2">
      <c r="A52" s="73" t="s">
        <v>1005</v>
      </c>
      <c r="B52" s="74">
        <v>46148</v>
      </c>
      <c r="C52" s="73" t="str">
        <f t="shared" si="0"/>
        <v>Eco-antibio2</v>
      </c>
      <c r="D52">
        <v>99</v>
      </c>
      <c r="E52" cm="1">
        <f t="array" ref="E52">INDEX(AAA!D:D,AE52)</f>
        <v>98522171</v>
      </c>
      <c r="F52" s="73" t="s">
        <v>1128</v>
      </c>
      <c r="G52" t="s">
        <v>1129</v>
      </c>
      <c r="H52" s="73" t="s">
        <v>35</v>
      </c>
      <c r="I52" t="s">
        <v>1343</v>
      </c>
      <c r="J52" s="73" t="str" cm="1">
        <f t="array" ref="J52">INDEX(AAA!E:E,AE52)</f>
        <v>232 ROUTE DU PITON BLEU</v>
      </c>
      <c r="K52" s="73" t="s">
        <v>39</v>
      </c>
      <c r="L52" t="str" cm="1">
        <f t="array" ref="L52">INDEX(AAA!C:C,AE52)</f>
        <v>LE TAMPON/PLAINE DES CAFRES</v>
      </c>
      <c r="M52" s="92" cm="1">
        <f t="array" ref="M52">INDEX(AAA!G:G,AE52)</f>
        <v>97418</v>
      </c>
      <c r="N52" s="92" t="str" cm="1">
        <f t="array" ref="N52">INDEX(AAA!B:B,AE52)</f>
        <v>C</v>
      </c>
      <c r="S52" s="73" t="s">
        <v>1130</v>
      </c>
      <c r="AE52" s="73">
        <f t="shared" si="1"/>
        <v>99</v>
      </c>
    </row>
    <row r="53" spans="1:31" x14ac:dyDescent="0.2">
      <c r="A53" s="73" t="s">
        <v>1006</v>
      </c>
      <c r="B53" s="74">
        <v>46147</v>
      </c>
      <c r="C53" s="73" t="str">
        <f t="shared" si="0"/>
        <v>Eco-antibio2</v>
      </c>
      <c r="D53">
        <v>24</v>
      </c>
      <c r="E53" cm="1">
        <f t="array" ref="E53">INDEX(AAA!D:D,AE53)</f>
        <v>98316177</v>
      </c>
      <c r="F53" s="73" t="str" cm="1">
        <f t="array" ref="F53">INDEX(AAA!A:A,AE53)</f>
        <v>CADET LAURENT</v>
      </c>
      <c r="G53" t="s">
        <v>1131</v>
      </c>
      <c r="H53" s="73" t="s">
        <v>35</v>
      </c>
      <c r="I53" t="s">
        <v>1343</v>
      </c>
      <c r="J53" s="73" t="str" cm="1">
        <f t="array" ref="J53">INDEX(AAA!E:E,AE53)</f>
        <v>8 IMPASSE BEGE</v>
      </c>
      <c r="K53" s="73" t="s">
        <v>39</v>
      </c>
      <c r="L53" t="str" cm="1">
        <f t="array" ref="L53">INDEX(AAA!C:C,AE53)</f>
        <v>SAINT PIERRE / PETITE ILE</v>
      </c>
      <c r="M53" s="92" t="str" cm="1">
        <f t="array" ref="M53">INDEX(AAA!G:G,AE53)</f>
        <v>97418</v>
      </c>
      <c r="N53" s="92" t="str" cm="1">
        <f t="array" ref="N53">INDEX(AAA!B:B,AE53)</f>
        <v>C</v>
      </c>
      <c r="S53" s="77" t="s">
        <v>1132</v>
      </c>
      <c r="AE53" s="73">
        <f t="shared" si="1"/>
        <v>24</v>
      </c>
    </row>
    <row r="54" spans="1:31" x14ac:dyDescent="0.2">
      <c r="A54" s="73" t="s">
        <v>1007</v>
      </c>
      <c r="B54" s="74">
        <v>46147</v>
      </c>
      <c r="C54" s="73" t="str">
        <f t="shared" si="0"/>
        <v>Eco-antibio2</v>
      </c>
      <c r="D54">
        <v>159</v>
      </c>
      <c r="E54" cm="1">
        <f t="array" ref="E54">INDEX(AAA!D:D,AE54)</f>
        <v>98316105</v>
      </c>
      <c r="F54" s="73" t="str" cm="1">
        <f t="array" ref="F54">INDEX(AAA!A:A,AE54)</f>
        <v>SCEA DU GITE</v>
      </c>
      <c r="G54" t="s">
        <v>1133</v>
      </c>
      <c r="H54" s="73" t="s">
        <v>35</v>
      </c>
      <c r="I54" t="s">
        <v>1343</v>
      </c>
      <c r="J54" s="73" t="str" cm="1">
        <f t="array" ref="J54">INDEX(AAA!E:E,AE54)</f>
        <v>191 ROUTE DU GITE</v>
      </c>
      <c r="K54" s="73" t="s">
        <v>39</v>
      </c>
      <c r="L54" t="str" cm="1">
        <f t="array" ref="L54">INDEX(AAA!C:C,AE54)</f>
        <v>SAINT PIERRE / PETITE ILE</v>
      </c>
      <c r="M54" s="92" t="str" cm="1">
        <f t="array" ref="M54">INDEX(AAA!G:G,AE54)</f>
        <v>97410</v>
      </c>
      <c r="N54" s="92" t="str" cm="1">
        <f t="array" ref="N54">INDEX(AAA!B:B,AE54)</f>
        <v>C</v>
      </c>
      <c r="S54" s="73" t="str" cm="1">
        <f t="array" ref="S54">INDEX(AAA!L:L,AE54)</f>
        <v>sceadugite@orange.fr</v>
      </c>
      <c r="AE54" s="73">
        <f t="shared" si="1"/>
        <v>159</v>
      </c>
    </row>
    <row r="55" spans="1:31" x14ac:dyDescent="0.2">
      <c r="A55" s="73" t="s">
        <v>1008</v>
      </c>
      <c r="B55" s="74">
        <v>46147</v>
      </c>
      <c r="C55" s="73" t="str">
        <f t="shared" si="0"/>
        <v>Eco-antibio2</v>
      </c>
      <c r="D55">
        <v>47</v>
      </c>
      <c r="E55" cm="1">
        <f t="array" ref="E55">INDEX(AAA!D:D,AE55)</f>
        <v>98022419</v>
      </c>
      <c r="F55" s="73" t="str" cm="1">
        <f t="array" ref="F55">INDEX(AAA!A:A,AE55)</f>
        <v>EARL CHEMIN CAFE</v>
      </c>
      <c r="G55" t="s">
        <v>1134</v>
      </c>
      <c r="H55" s="73" t="s">
        <v>35</v>
      </c>
      <c r="I55" t="s">
        <v>1343</v>
      </c>
      <c r="J55" s="73" t="str" cm="1">
        <f t="array" ref="J55">INDEX(AAA!E:E,AE55)</f>
        <v>152 ROUTE HUBERT DE LISLE</v>
      </c>
      <c r="K55" s="73" t="s">
        <v>39</v>
      </c>
      <c r="L55" t="str" cm="1">
        <f t="array" ref="L55">INDEX(AAA!C:C,AE55)</f>
        <v>SAINT JOSEPH</v>
      </c>
      <c r="M55" s="92" t="str" cm="1">
        <f t="array" ref="M55">INDEX(AAA!G:G,AE55)</f>
        <v>97480</v>
      </c>
      <c r="N55" s="92" t="str" cm="1">
        <f t="array" ref="N55">INDEX(AAA!B:B,AE55)</f>
        <v>C</v>
      </c>
      <c r="S55" s="73" t="str" cm="1">
        <f t="array" ref="S55">INDEX(AAA!L:L,AE55)</f>
        <v>chemincafe@orange.fr</v>
      </c>
      <c r="AE55" s="73">
        <f t="shared" si="1"/>
        <v>47</v>
      </c>
    </row>
    <row r="56" spans="1:31" x14ac:dyDescent="0.2">
      <c r="A56" s="75" t="s">
        <v>1009</v>
      </c>
      <c r="B56" s="74">
        <v>46147</v>
      </c>
      <c r="C56" s="73" t="str">
        <f t="shared" si="0"/>
        <v>Eco-antibio2</v>
      </c>
      <c r="D56">
        <v>6</v>
      </c>
      <c r="E56" cm="1">
        <f t="array" ref="E56">INDEX(AAA!D:D,AE56)</f>
        <v>98022662</v>
      </c>
      <c r="F56" s="73" t="str" cm="1">
        <f t="array" ref="F56">INDEX(AAA!A:A,AE56)</f>
        <v>ADOLPHE BRUNO</v>
      </c>
      <c r="G56" t="s">
        <v>1342</v>
      </c>
      <c r="H56" s="73" t="s">
        <v>35</v>
      </c>
      <c r="I56" t="s">
        <v>1343</v>
      </c>
      <c r="J56" s="73" t="str" cm="1">
        <f t="array" ref="J56">INDEX(AAA!E:E,AE56)</f>
        <v>CHEMIN DE LA BERGERIE</v>
      </c>
      <c r="K56" s="73" t="s">
        <v>39</v>
      </c>
      <c r="L56" t="str" cm="1">
        <f t="array" ref="L56">INDEX(AAA!C:C,AE56)</f>
        <v>LE TAMPON/PLAINE DES CAFRES</v>
      </c>
      <c r="M56" s="92" cm="1">
        <f t="array" ref="M56">INDEX(AAA!G:G,AE56)</f>
        <v>97430</v>
      </c>
      <c r="N56" s="92" t="str" cm="1">
        <f t="array" ref="N56">INDEX(AAA!B:B,AE56)</f>
        <v>I</v>
      </c>
      <c r="S56" s="73" cm="1">
        <f t="array" ref="S56">INDEX(AAA!L:L,AE56)</f>
        <v>0</v>
      </c>
      <c r="AE56" s="73">
        <f t="shared" si="1"/>
        <v>6</v>
      </c>
    </row>
    <row r="57" spans="1:31" x14ac:dyDescent="0.2">
      <c r="A57" s="73" t="s">
        <v>1010</v>
      </c>
      <c r="B57" s="74">
        <v>46147</v>
      </c>
      <c r="C57" s="73" t="str">
        <f t="shared" si="0"/>
        <v>Eco-antibio2</v>
      </c>
      <c r="D57">
        <v>110</v>
      </c>
      <c r="E57" cm="1">
        <f t="array" ref="E57">INDEX(AAA!D:D,AE57)</f>
        <v>98016045</v>
      </c>
      <c r="F57" s="73" t="str" cm="1">
        <f t="array" ref="F57">INDEX(AAA!A:A,AE57)</f>
        <v>GAEC DU BASSIN PLAT</v>
      </c>
      <c r="G57" t="s">
        <v>1135</v>
      </c>
      <c r="H57" s="73" t="s">
        <v>35</v>
      </c>
      <c r="I57" t="s">
        <v>1343</v>
      </c>
      <c r="J57" s="73" t="str" cm="1">
        <f t="array" ref="J57">INDEX(AAA!E:E,AE57)</f>
        <v>80 ALLEE DES AUBEPINES</v>
      </c>
      <c r="K57" s="73" t="s">
        <v>39</v>
      </c>
      <c r="L57" t="str" cm="1">
        <f t="array" ref="L57">INDEX(AAA!C:C,AE57)</f>
        <v>SAINT PIERRE / PETITE ILE</v>
      </c>
      <c r="M57" s="92" t="str" cm="1">
        <f t="array" ref="M57">INDEX(AAA!G:G,AE57)</f>
        <v>97410</v>
      </c>
      <c r="N57" s="92" t="str" cm="1">
        <f t="array" ref="N57">INDEX(AAA!B:B,AE57)</f>
        <v>C</v>
      </c>
      <c r="S57" s="77" t="s">
        <v>1136</v>
      </c>
      <c r="AE57" s="73">
        <f t="shared" si="1"/>
        <v>110</v>
      </c>
    </row>
    <row r="58" spans="1:31" x14ac:dyDescent="0.2">
      <c r="A58" s="73" t="s">
        <v>1011</v>
      </c>
      <c r="B58" s="74">
        <v>46148</v>
      </c>
      <c r="C58" s="73" t="str">
        <f t="shared" si="0"/>
        <v>Eco-antibio2</v>
      </c>
      <c r="D58">
        <v>29</v>
      </c>
      <c r="E58" cm="1">
        <f t="array" ref="E58">INDEX(AAA!D:D,AE58)</f>
        <v>98110058</v>
      </c>
      <c r="F58" s="73" t="str" cm="1">
        <f t="array" ref="F58">INDEX(AAA!A:A,AE58)</f>
        <v>DAMOUR CLOTERE</v>
      </c>
      <c r="G58" t="s">
        <v>1137</v>
      </c>
      <c r="H58" s="73" t="s">
        <v>35</v>
      </c>
      <c r="I58" t="s">
        <v>1343</v>
      </c>
      <c r="J58" s="73" t="str" cm="1">
        <f t="array" ref="J58">INDEX(AAA!E:E,AE58)</f>
        <v>307 PITON ARMAND</v>
      </c>
      <c r="K58" s="73" t="s">
        <v>39</v>
      </c>
      <c r="L58" t="str" cm="1">
        <f t="array" ref="L58">INDEX(AAA!C:C,AE58)</f>
        <v>PLAINE DES PALMISTES/ SAINTE ANNE</v>
      </c>
      <c r="M58" s="92" t="str" cm="1">
        <f t="array" ref="M58">INDEX(AAA!G:G,AE58)</f>
        <v>97437</v>
      </c>
      <c r="N58" s="92" t="str" cm="1">
        <f t="array" ref="N58">INDEX(AAA!B:B,AE58)</f>
        <v>C</v>
      </c>
      <c r="S58" s="73" t="str" cm="1">
        <f t="array" ref="S58">INDEX(AAA!L:L,AE58)</f>
        <v>clotere.damour@gmail.com</v>
      </c>
      <c r="AE58" s="73">
        <f t="shared" si="1"/>
        <v>29</v>
      </c>
    </row>
    <row r="59" spans="1:31" x14ac:dyDescent="0.2">
      <c r="A59" s="73" t="s">
        <v>1012</v>
      </c>
      <c r="B59" s="74">
        <v>46148</v>
      </c>
      <c r="C59" s="73" t="str">
        <f t="shared" si="0"/>
        <v>Eco-antibio2</v>
      </c>
      <c r="D59">
        <v>137</v>
      </c>
      <c r="E59" cm="1">
        <f t="array" ref="E59">INDEX(AAA!D:D,AE59)</f>
        <v>98110003</v>
      </c>
      <c r="F59" s="73" t="str" cm="1">
        <f t="array" ref="F59">INDEX(AAA!A:A,AE59)</f>
        <v>MAILLOT YVES ANDRE</v>
      </c>
      <c r="G59" t="s">
        <v>1138</v>
      </c>
      <c r="H59" s="73" t="s">
        <v>35</v>
      </c>
      <c r="I59" t="s">
        <v>1343</v>
      </c>
      <c r="J59" s="73" t="str" cm="1">
        <f t="array" ref="J59">INDEX(AAA!E:E,AE59)</f>
        <v>305 PITON ARMAND LES HAUTS</v>
      </c>
      <c r="K59" s="73" t="s">
        <v>39</v>
      </c>
      <c r="L59" t="str" cm="1">
        <f t="array" ref="L59">INDEX(AAA!C:C,AE59)</f>
        <v>PLAINE DES PALMISTES/ SAINTE ANNE</v>
      </c>
      <c r="M59" s="92" t="str" cm="1">
        <f t="array" ref="M59">INDEX(AAA!G:G,AE59)</f>
        <v>97437</v>
      </c>
      <c r="N59" s="92" t="str" cm="1">
        <f t="array" ref="N59">INDEX(AAA!B:B,AE59)</f>
        <v>C</v>
      </c>
      <c r="S59" s="73" t="str" cm="1">
        <f t="array" ref="S59">INDEX(AAA!L:L,AE59)</f>
        <v>maillot.yves@gmail.com</v>
      </c>
      <c r="AE59" s="73">
        <f t="shared" si="1"/>
        <v>137</v>
      </c>
    </row>
    <row r="60" spans="1:31" x14ac:dyDescent="0.2">
      <c r="A60" s="73" t="s">
        <v>1013</v>
      </c>
      <c r="B60" s="74">
        <v>46148</v>
      </c>
      <c r="C60" s="73" t="str">
        <f t="shared" si="0"/>
        <v>Eco-antibio2</v>
      </c>
      <c r="D60">
        <v>70</v>
      </c>
      <c r="E60" cm="1">
        <f t="array" ref="E60">INDEX(AAA!D:D,AE60)</f>
        <v>98110061</v>
      </c>
      <c r="F60" s="73" t="s">
        <v>1139</v>
      </c>
      <c r="G60" t="s">
        <v>1140</v>
      </c>
      <c r="H60" s="73" t="s">
        <v>35</v>
      </c>
      <c r="I60" t="s">
        <v>1343</v>
      </c>
      <c r="J60" s="73" t="str" cm="1">
        <f t="array" ref="J60">INDEX(AAA!E:E,AE60)</f>
        <v>18 CHEMIN SAFER</v>
      </c>
      <c r="K60" s="73" t="s">
        <v>39</v>
      </c>
      <c r="L60" t="str" cm="1">
        <f t="array" ref="L60">INDEX(AAA!C:C,AE60)</f>
        <v>PLAINE DES PALMISTES/ SAINTE ANNE</v>
      </c>
      <c r="M60" s="92" t="str" cm="1">
        <f t="array" ref="M60">INDEX(AAA!G:G,AE60)</f>
        <v>97437</v>
      </c>
      <c r="N60" s="92" t="str" cm="1">
        <f t="array" ref="N60">INDEX(AAA!B:B,AE60)</f>
        <v>C</v>
      </c>
      <c r="S60" s="73" t="str" cm="1">
        <f t="array" ref="S60">INDEX(AAA!L:L,AE60)</f>
        <v>rosaire.grondin@hotmail.fr</v>
      </c>
      <c r="AE60" s="73">
        <f t="shared" si="1"/>
        <v>70</v>
      </c>
    </row>
    <row r="61" spans="1:31" x14ac:dyDescent="0.2">
      <c r="A61" s="73" t="s">
        <v>1014</v>
      </c>
      <c r="B61" s="74">
        <v>46149</v>
      </c>
      <c r="C61" s="73" t="str">
        <f t="shared" si="0"/>
        <v>Eco-antibio2</v>
      </c>
      <c r="D61">
        <v>44</v>
      </c>
      <c r="E61" cm="1">
        <f t="array" ref="E61">INDEX(AAA!D:D,AE61)</f>
        <v>98001162</v>
      </c>
      <c r="F61" s="73" t="str" cm="1">
        <f t="array" ref="F61">INDEX(AAA!A:A,AE61)</f>
        <v>EARL CAMI</v>
      </c>
      <c r="G61" t="s">
        <v>1143</v>
      </c>
      <c r="H61" s="73" t="s">
        <v>35</v>
      </c>
      <c r="I61" t="s">
        <v>1343</v>
      </c>
      <c r="J61" s="73" t="str" cm="1">
        <f t="array" ref="J61">INDEX(AAA!E:E,AE61)</f>
        <v>93 CHEMIN PITON ROUGE</v>
      </c>
      <c r="K61" s="73" t="s">
        <v>39</v>
      </c>
      <c r="L61" t="str" cm="1">
        <f t="array" ref="L61">INDEX(AAA!C:C,AE61)</f>
        <v>AVIRONS/ SAINT LEU</v>
      </c>
      <c r="M61" s="92" t="str" cm="1">
        <f t="array" ref="M61">INDEX(AAA!G:G,AE61)</f>
        <v>97425</v>
      </c>
      <c r="N61" s="92" t="str" cm="1">
        <f t="array" ref="N61">INDEX(AAA!B:B,AE61)</f>
        <v>C</v>
      </c>
      <c r="S61" s="77" t="s">
        <v>1141</v>
      </c>
      <c r="AE61" s="73">
        <f t="shared" si="1"/>
        <v>44</v>
      </c>
    </row>
    <row r="62" spans="1:31" x14ac:dyDescent="0.2">
      <c r="A62" s="73" t="s">
        <v>1015</v>
      </c>
      <c r="B62" s="74">
        <v>46149</v>
      </c>
      <c r="C62" s="73" t="str">
        <f t="shared" si="0"/>
        <v>Eco-antibio2</v>
      </c>
      <c r="D62">
        <v>125</v>
      </c>
      <c r="E62" cm="1">
        <f t="array" ref="E62">INDEX(AAA!D:D,AE62)</f>
        <v>98213104</v>
      </c>
      <c r="F62" s="73" t="str" cm="1">
        <f t="array" ref="F62">INDEX(AAA!A:A,AE62)</f>
        <v>JULIE OLIVIER</v>
      </c>
      <c r="G62" t="s">
        <v>1142</v>
      </c>
      <c r="H62" s="73" t="s">
        <v>35</v>
      </c>
      <c r="I62" t="s">
        <v>1343</v>
      </c>
      <c r="J62" s="73" t="str" cm="1">
        <f t="array" ref="J62">INDEX(AAA!E:E,AE62)</f>
        <v>39 bis CHEMIN BOUSSOLE</v>
      </c>
      <c r="K62" s="73" t="s">
        <v>39</v>
      </c>
      <c r="L62" t="str" cm="1">
        <f t="array" ref="L62">INDEX(AAA!C:C,AE62)</f>
        <v>AVIRONS/ SAINT LEU</v>
      </c>
      <c r="M62" s="92" t="str" cm="1">
        <f t="array" ref="M62">INDEX(AAA!G:G,AE62)</f>
        <v>97424</v>
      </c>
      <c r="N62" s="92" t="str" cm="1">
        <f t="array" ref="N62">INDEX(AAA!B:B,AE62)</f>
        <v>C</v>
      </c>
      <c r="S62" s="73" t="str" cm="1">
        <f t="array" ref="S62">INDEX(AAA!L:L,AE62)</f>
        <v>juli.olivier000@gmail.com</v>
      </c>
      <c r="AE62" s="73">
        <f t="shared" si="1"/>
        <v>125</v>
      </c>
    </row>
    <row r="63" spans="1:31" x14ac:dyDescent="0.2">
      <c r="A63" s="73" t="s">
        <v>1016</v>
      </c>
      <c r="B63" s="74">
        <v>46149</v>
      </c>
      <c r="C63" s="73" t="str">
        <f t="shared" si="0"/>
        <v>Eco-antibio2</v>
      </c>
      <c r="D63">
        <v>162</v>
      </c>
      <c r="E63" cm="1">
        <f t="array" ref="E63">INDEX(AAA!D:D,AE63)</f>
        <v>98213101</v>
      </c>
      <c r="F63" s="73" t="str" cm="1">
        <f t="array" ref="F63">INDEX(AAA!A:A,AE63)</f>
        <v>SCEA FERME DU PLATEAU</v>
      </c>
      <c r="G63" t="s">
        <v>1144</v>
      </c>
      <c r="H63" s="73" t="s">
        <v>35</v>
      </c>
      <c r="I63" t="s">
        <v>1343</v>
      </c>
      <c r="J63" s="73" t="str" cm="1">
        <f t="array" ref="J63">INDEX(AAA!E:E,AE63)</f>
        <v>155 RUE ADRIEN LAGOURGUE</v>
      </c>
      <c r="K63" s="73" t="s">
        <v>39</v>
      </c>
      <c r="L63" t="str" cm="1">
        <f t="array" ref="L63">INDEX(AAA!C:C,AE63)</f>
        <v>AVIRONS/ SAINT LEU</v>
      </c>
      <c r="M63" s="92" cm="1">
        <f t="array" ref="M63">INDEX(AAA!G:G,AE63)</f>
        <v>97424</v>
      </c>
      <c r="N63" s="92" t="str" cm="1">
        <f t="array" ref="N63">INDEX(AAA!B:B,AE63)</f>
        <v>C</v>
      </c>
      <c r="S63" s="77" t="s">
        <v>1145</v>
      </c>
      <c r="AE63" s="73">
        <f t="shared" si="1"/>
        <v>162</v>
      </c>
    </row>
    <row r="64" spans="1:31" x14ac:dyDescent="0.2">
      <c r="A64" s="75" t="s">
        <v>1154</v>
      </c>
      <c r="B64" s="74">
        <v>46153</v>
      </c>
      <c r="C64" s="73" t="str">
        <f t="shared" si="0"/>
        <v>Eco-antibio2</v>
      </c>
      <c r="D64">
        <v>16</v>
      </c>
      <c r="E64" cm="1">
        <f t="array" ref="E64">INDEX(AAA!D:D,AE64)</f>
        <v>98121090</v>
      </c>
      <c r="F64" s="73" t="str" cm="1">
        <f t="array" ref="F64">INDEX(AAA!A:A,AE64)</f>
        <v>BEGUE HENRI NE site impasse Lamy (village)</v>
      </c>
      <c r="G64" t="s">
        <v>1152</v>
      </c>
      <c r="H64" s="73" t="s">
        <v>35</v>
      </c>
      <c r="I64" t="s">
        <v>1343</v>
      </c>
      <c r="J64" s="73" t="str" cm="1">
        <f t="array" ref="J64">INDEX(AAA!E:E,AE64)</f>
        <v>43 RUE GEORGES POMPIDOU</v>
      </c>
      <c r="K64" s="73" t="s">
        <v>39</v>
      </c>
      <c r="L64" t="s">
        <v>105</v>
      </c>
      <c r="M64" s="92" t="str" cm="1">
        <f t="array" ref="M64">INDEX(AAA!G:G,AE64)</f>
        <v>97433</v>
      </c>
      <c r="N64" s="92" t="str" cm="1">
        <f t="array" ref="N64">INDEX(AAA!B:B,AE64)</f>
        <v>C</v>
      </c>
      <c r="S64" s="77" t="s">
        <v>1153</v>
      </c>
      <c r="AE64" s="73">
        <f t="shared" si="1"/>
        <v>16</v>
      </c>
    </row>
    <row r="65" spans="1:31" x14ac:dyDescent="0.2">
      <c r="A65" s="73" t="s">
        <v>1017</v>
      </c>
      <c r="B65" s="74">
        <v>46153</v>
      </c>
      <c r="C65" s="73" t="str">
        <f t="shared" si="0"/>
        <v>Eco-antibio2</v>
      </c>
      <c r="D65">
        <v>8</v>
      </c>
      <c r="E65" cm="1">
        <f t="array" ref="E65">INDEX(AAA!D:D,AE65)</f>
        <v>98021656</v>
      </c>
      <c r="F65" s="73" t="str" cm="1">
        <f t="array" ref="F65">INDEX(AAA!A:A,AE65)</f>
        <v>ARMOUET BILLY</v>
      </c>
      <c r="G65" t="s">
        <v>1147</v>
      </c>
      <c r="H65" s="73" t="s">
        <v>35</v>
      </c>
      <c r="I65" t="s">
        <v>1343</v>
      </c>
      <c r="J65" s="73" t="str" cm="1">
        <f t="array" ref="J65">INDEX(AAA!E:E,AE65)</f>
        <v>112 CHEMIN BEGUE</v>
      </c>
      <c r="K65" s="73" t="s">
        <v>39</v>
      </c>
      <c r="L65" t="str" cm="1">
        <f t="array" ref="L65">INDEX(AAA!C:C,AE65)</f>
        <v>SALAZIE</v>
      </c>
      <c r="M65" s="92" t="str" cm="1">
        <f t="array" ref="M65">INDEX(AAA!G:G,AE65)</f>
        <v>97433</v>
      </c>
      <c r="N65" s="92" t="str" cm="1">
        <f t="array" ref="N65">INDEX(AAA!B:B,AE65)</f>
        <v>C</v>
      </c>
      <c r="S65" s="77" t="s">
        <v>881</v>
      </c>
      <c r="AE65" s="73">
        <f t="shared" si="1"/>
        <v>8</v>
      </c>
    </row>
    <row r="66" spans="1:31" x14ac:dyDescent="0.2">
      <c r="A66" s="73" t="s">
        <v>1018</v>
      </c>
      <c r="B66" s="74">
        <v>46153</v>
      </c>
      <c r="C66" s="73" t="str">
        <f t="shared" si="0"/>
        <v>Eco-antibio2</v>
      </c>
      <c r="D66">
        <v>170</v>
      </c>
      <c r="E66" cm="1">
        <f t="array" ref="E66">INDEX(AAA!D:D,AE66)</f>
        <v>98021093</v>
      </c>
      <c r="F66" s="73" t="s">
        <v>1149</v>
      </c>
      <c r="G66" t="s">
        <v>1148</v>
      </c>
      <c r="H66" s="73" t="s">
        <v>35</v>
      </c>
      <c r="I66" t="s">
        <v>1343</v>
      </c>
      <c r="J66" s="73" t="str" cm="1">
        <f t="array" ref="J66">INDEX(AAA!E:E,AE66)</f>
        <v>38 CHEMIN DE L EGLISE</v>
      </c>
      <c r="K66" s="73" t="s">
        <v>39</v>
      </c>
      <c r="L66" t="str" cm="1">
        <f t="array" ref="L66">INDEX(AAA!C:C,AE66)</f>
        <v>SALAZIE</v>
      </c>
      <c r="M66" s="92" cm="1">
        <f t="array" ref="M66">INDEX(AAA!G:G,AE66)</f>
        <v>97433</v>
      </c>
      <c r="N66" s="92" t="str" cm="1">
        <f t="array" ref="N66">INDEX(AAA!B:B,AE66)</f>
        <v>I</v>
      </c>
      <c r="S66" s="73" t="str" cm="1">
        <f t="array" ref="S66">INDEX(AAA!L:L,AE66)</f>
        <v>turpinjimmy38@yahoo.fr</v>
      </c>
      <c r="AE66" s="73">
        <f t="shared" si="1"/>
        <v>170</v>
      </c>
    </row>
    <row r="67" spans="1:31" x14ac:dyDescent="0.2">
      <c r="A67" s="73" t="s">
        <v>1019</v>
      </c>
      <c r="B67" s="74">
        <v>46153</v>
      </c>
      <c r="C67" s="73" t="str">
        <f>C66</f>
        <v>Eco-antibio2</v>
      </c>
      <c r="D67">
        <v>150</v>
      </c>
      <c r="E67" cm="1">
        <f t="array" ref="E67">INDEX(AAA!D:D,AE67)</f>
        <v>98021645</v>
      </c>
      <c r="F67" s="73" t="s">
        <v>1150</v>
      </c>
      <c r="G67" t="s">
        <v>1151</v>
      </c>
      <c r="H67" s="73" t="s">
        <v>35</v>
      </c>
      <c r="I67" t="s">
        <v>1343</v>
      </c>
      <c r="J67" s="73" t="str" cm="1">
        <f t="array" ref="J67">INDEX(AAA!E:E,AE67)</f>
        <v>22 CHEMIN DU STADE - CASABOIS - GRAND ILET</v>
      </c>
      <c r="K67" s="73" t="s">
        <v>39</v>
      </c>
      <c r="L67" t="str" cm="1">
        <f t="array" ref="L67">INDEX(AAA!C:C,AE67)</f>
        <v>SALAZIE</v>
      </c>
      <c r="M67" s="92" cm="1">
        <f t="array" ref="M67">INDEX(AAA!G:G,AE67)</f>
        <v>97433</v>
      </c>
      <c r="N67" s="92" t="str" cm="1">
        <f t="array" ref="N67">INDEX(AAA!B:B,AE67)</f>
        <v>I</v>
      </c>
      <c r="S67" s="73" cm="1">
        <f t="array" ref="S67">INDEX(AAA!L:L,AE67)</f>
        <v>0</v>
      </c>
      <c r="AE67" s="73">
        <f t="shared" si="1"/>
        <v>150</v>
      </c>
    </row>
    <row r="68" spans="1:31" x14ac:dyDescent="0.2">
      <c r="A68" s="73" t="s">
        <v>1020</v>
      </c>
      <c r="B68" s="74">
        <v>46153</v>
      </c>
      <c r="C68" s="73" t="str">
        <f>C67</f>
        <v>Eco-antibio2</v>
      </c>
      <c r="D68">
        <v>114</v>
      </c>
      <c r="E68" cm="1">
        <f t="array" ref="E68">INDEX(AAA!D:D,AE68)</f>
        <v>98021559</v>
      </c>
      <c r="F68" s="73" t="s">
        <v>380</v>
      </c>
      <c r="G68" t="s">
        <v>1155</v>
      </c>
      <c r="H68" s="73" t="s">
        <v>35</v>
      </c>
      <c r="I68" t="s">
        <v>1343</v>
      </c>
      <c r="J68" s="73" t="str" cm="1">
        <f t="array" ref="J68">INDEX(AAA!E:E,AE68)</f>
        <v>12 CHEMIN SOLESSE</v>
      </c>
      <c r="K68" s="73" t="s">
        <v>39</v>
      </c>
      <c r="L68" t="str" cm="1">
        <f t="array" ref="L68">INDEX(AAA!C:C,AE68)</f>
        <v>SALAZIE</v>
      </c>
      <c r="M68" s="92" t="str" cm="1">
        <f t="array" ref="M68">INDEX(AAA!G:G,AE68)</f>
        <v>97433</v>
      </c>
      <c r="N68" s="92" t="str" cm="1">
        <f t="array" ref="N68">INDEX(AAA!B:B,AE68)</f>
        <v>C</v>
      </c>
      <c r="S68" s="73" cm="1">
        <f t="array" ref="S68">INDEX(AAA!L:L,AE68)</f>
        <v>0</v>
      </c>
      <c r="AE68" s="73">
        <f t="shared" si="1"/>
        <v>114</v>
      </c>
    </row>
    <row r="69" spans="1:31" x14ac:dyDescent="0.2">
      <c r="A69" s="73" t="s">
        <v>1021</v>
      </c>
      <c r="B69" s="74">
        <v>46154</v>
      </c>
      <c r="C69" s="73" t="str">
        <f>C67</f>
        <v>Eco-antibio2</v>
      </c>
      <c r="D69">
        <v>106</v>
      </c>
      <c r="E69" cm="1">
        <f t="array" ref="E69">INDEX(AAA!D:D,AE69)</f>
        <v>98021544</v>
      </c>
      <c r="F69" s="73" t="str" cm="1">
        <f t="array" ref="F69">INDEX(AAA!A:A,AE69)</f>
        <v>ELISABETH JULIEN</v>
      </c>
      <c r="G69" t="s">
        <v>1156</v>
      </c>
      <c r="H69" s="73" t="s">
        <v>35</v>
      </c>
      <c r="I69" t="s">
        <v>1343</v>
      </c>
      <c r="J69" s="73" t="str" cm="1">
        <f t="array" ref="J69">INDEX(AAA!E:E,AE69)</f>
        <v>558 ROUTE DEPARTEMENTALE 52</v>
      </c>
      <c r="K69" s="73" t="s">
        <v>39</v>
      </c>
      <c r="L69" t="str" cm="1">
        <f t="array" ref="L69">INDEX(AAA!C:C,AE69)</f>
        <v>SALAZIE</v>
      </c>
      <c r="M69" s="92" cm="1">
        <f t="array" ref="M69">INDEX(AAA!G:G,AE69)</f>
        <v>97433</v>
      </c>
      <c r="N69" s="92" t="str" cm="1">
        <f t="array" ref="N69">INDEX(AAA!B:B,AE69)</f>
        <v>I</v>
      </c>
      <c r="S69" s="73" t="str" cm="1">
        <f t="array" ref="S69">INDEX(AAA!L:L,AE69)</f>
        <v>ejenlevement@gmail.com</v>
      </c>
      <c r="AE69" s="73">
        <f t="shared" si="1"/>
        <v>106</v>
      </c>
    </row>
    <row r="70" spans="1:31" x14ac:dyDescent="0.2">
      <c r="A70" s="73" t="s">
        <v>1022</v>
      </c>
      <c r="B70" s="74">
        <v>46154</v>
      </c>
      <c r="C70" s="73" t="str">
        <f t="shared" si="0"/>
        <v>Eco-antibio2</v>
      </c>
      <c r="D70">
        <v>135</v>
      </c>
      <c r="E70" cm="1">
        <f t="array" ref="E70">INDEX(AAA!D:D,AE70)</f>
        <v>98021477</v>
      </c>
      <c r="F70" s="73" t="s">
        <v>1157</v>
      </c>
      <c r="G70" t="s">
        <v>1158</v>
      </c>
      <c r="H70" s="73" t="s">
        <v>35</v>
      </c>
      <c r="I70" t="s">
        <v>1343</v>
      </c>
      <c r="J70" s="73" t="str" cm="1">
        <f t="array" ref="J70">INDEX(AAA!E:E,AE70)</f>
        <v>18 CHEMIN DE L'EGLIE SAINT MARTIN</v>
      </c>
      <c r="K70" s="73" t="s">
        <v>39</v>
      </c>
      <c r="L70" t="str" cm="1">
        <f t="array" ref="L70">INDEX(AAA!C:C,AE70)</f>
        <v>SALAZIE</v>
      </c>
      <c r="M70" s="92" t="str" cm="1">
        <f t="array" ref="M70">INDEX(AAA!G:G,AE70)</f>
        <v>97433</v>
      </c>
      <c r="N70" s="92" t="str" cm="1">
        <f t="array" ref="N70">INDEX(AAA!B:B,AE70)</f>
        <v>C</v>
      </c>
      <c r="S70" s="73" t="str" cm="1">
        <f t="array" ref="S70">INDEX(AAA!L:L,AE70)</f>
        <v>daniel-andre.maillot@orange.fr</v>
      </c>
      <c r="AE70" s="73">
        <f t="shared" si="1"/>
        <v>135</v>
      </c>
    </row>
    <row r="71" spans="1:31" x14ac:dyDescent="0.2">
      <c r="A71" s="73" t="s">
        <v>1023</v>
      </c>
      <c r="B71" s="74">
        <v>46154</v>
      </c>
      <c r="C71" s="73" t="str">
        <f t="shared" ref="C71:C92" si="2">C70</f>
        <v>Eco-antibio2</v>
      </c>
      <c r="E71" t="s">
        <v>1163</v>
      </c>
      <c r="F71" s="73" t="s">
        <v>1159</v>
      </c>
      <c r="G71" t="s">
        <v>1160</v>
      </c>
      <c r="H71" s="73" t="s">
        <v>35</v>
      </c>
      <c r="I71" t="s">
        <v>1343</v>
      </c>
      <c r="J71" s="73" t="s">
        <v>1162</v>
      </c>
      <c r="K71" s="73" t="s">
        <v>39</v>
      </c>
      <c r="L71" t="s">
        <v>105</v>
      </c>
      <c r="M71" s="92">
        <v>97433</v>
      </c>
      <c r="N71" s="92" t="s">
        <v>77</v>
      </c>
      <c r="S71" s="77" t="s">
        <v>1161</v>
      </c>
      <c r="AE71" s="73">
        <f t="shared" si="1"/>
        <v>0</v>
      </c>
    </row>
    <row r="72" spans="1:31" x14ac:dyDescent="0.2">
      <c r="A72" s="73" t="s">
        <v>1024</v>
      </c>
      <c r="B72" s="74">
        <v>46154</v>
      </c>
      <c r="C72" s="73" t="str">
        <f t="shared" si="2"/>
        <v>Eco-antibio2</v>
      </c>
      <c r="D72">
        <v>28</v>
      </c>
      <c r="E72" cm="1">
        <f t="array" ref="E72">INDEX(AAA!D:D,AE72)</f>
        <v>98021554</v>
      </c>
      <c r="F72" s="73" t="str" cm="1">
        <f t="array" ref="F72">INDEX(AAA!A:A,AE72)</f>
        <v>DAMOUR AMBROISE</v>
      </c>
      <c r="G72" t="s">
        <v>1164</v>
      </c>
      <c r="H72" s="73" t="s">
        <v>35</v>
      </c>
      <c r="I72" t="s">
        <v>1343</v>
      </c>
      <c r="J72" s="73" t="str" cm="1">
        <f t="array" ref="J72">INDEX(AAA!E:E,AE72)</f>
        <v>37 CHEMIN DAMOUR</v>
      </c>
      <c r="K72" s="73" t="s">
        <v>39</v>
      </c>
      <c r="L72" t="str" cm="1">
        <f t="array" ref="L72">INDEX(AAA!C:C,AE72)</f>
        <v>SALAZIE</v>
      </c>
      <c r="M72" s="92" t="str" cm="1">
        <f t="array" ref="M72">INDEX(AAA!G:G,AE72)</f>
        <v>97433</v>
      </c>
      <c r="N72" s="92" t="str" cm="1">
        <f t="array" ref="N72">INDEX(AAA!B:B,AE72)</f>
        <v>C</v>
      </c>
      <c r="S72" s="73" t="str" cm="1">
        <f t="array" ref="S72">INDEX(AAA!L:L,AE72)</f>
        <v>ambroise.damour@yahoo.fr</v>
      </c>
      <c r="AE72" s="73">
        <f t="shared" si="1"/>
        <v>28</v>
      </c>
    </row>
    <row r="73" spans="1:31" x14ac:dyDescent="0.2">
      <c r="A73" s="73" t="s">
        <v>1025</v>
      </c>
      <c r="B73" s="74">
        <v>46154</v>
      </c>
      <c r="C73" s="73" t="str">
        <f t="shared" si="2"/>
        <v>Eco-antibio2</v>
      </c>
      <c r="D73">
        <v>38</v>
      </c>
      <c r="E73" cm="1">
        <f t="array" ref="E73">INDEX(AAA!D:D,AE73)</f>
        <v>98021587</v>
      </c>
      <c r="F73" s="73" t="str" cm="1">
        <f t="array" ref="F73">INDEX(AAA!A:A,AE73)</f>
        <v>EARL AGRI SALAZE</v>
      </c>
      <c r="G73" t="s">
        <v>1158</v>
      </c>
      <c r="H73" s="73" t="s">
        <v>35</v>
      </c>
      <c r="I73" t="s">
        <v>1343</v>
      </c>
      <c r="J73" s="73" t="str" cm="1">
        <f t="array" ref="J73">INDEX(AAA!E:E,AE73)</f>
        <v>59 CHEMIN DAMOUR</v>
      </c>
      <c r="K73" s="73" t="s">
        <v>39</v>
      </c>
      <c r="L73" t="str" cm="1">
        <f t="array" ref="L73">INDEX(AAA!C:C,AE73)</f>
        <v>SALAZIE</v>
      </c>
      <c r="M73" s="92" t="str" cm="1">
        <f t="array" ref="M73">INDEX(AAA!G:G,AE73)</f>
        <v>97433</v>
      </c>
      <c r="N73" s="92" t="str" cm="1">
        <f t="array" ref="N73">INDEX(AAA!B:B,AE73)</f>
        <v>C</v>
      </c>
      <c r="S73" s="73" t="str" cm="1">
        <f t="array" ref="S73">INDEX(AAA!L:L,AE73)</f>
        <v>agrisalazes@laposte.net</v>
      </c>
      <c r="AE73" s="73">
        <f t="shared" si="1"/>
        <v>38</v>
      </c>
    </row>
    <row r="74" spans="1:31" x14ac:dyDescent="0.2">
      <c r="A74" s="73" t="s">
        <v>1026</v>
      </c>
      <c r="B74" s="74">
        <v>46154</v>
      </c>
      <c r="C74" s="73" t="str">
        <f t="shared" si="2"/>
        <v>Eco-antibio2</v>
      </c>
      <c r="D74">
        <v>20</v>
      </c>
      <c r="E74" cm="1">
        <f t="array" ref="E74">INDEX(AAA!D:D,AE74)</f>
        <v>98021163</v>
      </c>
      <c r="F74" s="73" t="str" cm="1">
        <f t="array" ref="F74">INDEX(AAA!A:A,AE74)</f>
        <v>BOYER JEAN HUGUES</v>
      </c>
      <c r="G74" t="s">
        <v>1166</v>
      </c>
      <c r="H74" s="73" t="s">
        <v>35</v>
      </c>
      <c r="I74" t="s">
        <v>1343</v>
      </c>
      <c r="J74" s="73" t="str" cm="1">
        <f t="array" ref="J74">INDEX(AAA!E:E,AE74)</f>
        <v>421 CHEMIN BEDERE MAILLOT RIVIERE DU MAT LES BAS</v>
      </c>
      <c r="K74" s="73" t="s">
        <v>39</v>
      </c>
      <c r="L74" t="str" cm="1">
        <f t="array" ref="L74">INDEX(AAA!C:C,AE74)</f>
        <v>SALAZIE</v>
      </c>
      <c r="M74" s="92" cm="1">
        <f t="array" ref="M74">INDEX(AAA!G:G,AE74)</f>
        <v>97440</v>
      </c>
      <c r="N74" s="92" t="str" cm="1">
        <f t="array" ref="N74">INDEX(AAA!B:B,AE74)</f>
        <v>I</v>
      </c>
      <c r="S74" s="73" t="str" cm="1">
        <f t="array" ref="S74">INDEX(AAA!L:L,AE74)</f>
        <v>sylvia.boyer072@orange.fr</v>
      </c>
      <c r="AE74" s="73">
        <f t="shared" si="1"/>
        <v>20</v>
      </c>
    </row>
    <row r="75" spans="1:31" x14ac:dyDescent="0.2">
      <c r="A75" s="73" t="s">
        <v>1027</v>
      </c>
      <c r="B75" s="74">
        <v>46154</v>
      </c>
      <c r="C75" s="73" t="str">
        <f t="shared" si="2"/>
        <v>Eco-antibio2</v>
      </c>
      <c r="D75">
        <v>143</v>
      </c>
      <c r="E75" cm="1">
        <f t="array" ref="E75">INDEX(AAA!D:D,AE75)</f>
        <v>98021407</v>
      </c>
      <c r="F75" s="73" t="s">
        <v>1167</v>
      </c>
      <c r="G75" t="s">
        <v>1168</v>
      </c>
      <c r="H75" s="73" t="s">
        <v>35</v>
      </c>
      <c r="I75" t="s">
        <v>1343</v>
      </c>
      <c r="J75" s="73" t="str" cm="1">
        <f t="array" ref="J75">INDEX(AAA!E:E,AE75)</f>
        <v>232 ROUTE DU PITON BLEU</v>
      </c>
      <c r="K75" s="73" t="s">
        <v>39</v>
      </c>
      <c r="L75" t="str" cm="1">
        <f t="array" ref="L75">INDEX(AAA!C:C,AE75)</f>
        <v>SALAZIE</v>
      </c>
      <c r="M75" s="92" cm="1">
        <f t="array" ref="M75">INDEX(AAA!G:G,AE75)</f>
        <v>97418</v>
      </c>
      <c r="N75" s="92" t="str" cm="1">
        <f t="array" ref="N75">INDEX(AAA!B:B,AE75)</f>
        <v>C</v>
      </c>
      <c r="S75" s="77" t="s">
        <v>1169</v>
      </c>
      <c r="AE75" s="73">
        <f t="shared" si="1"/>
        <v>143</v>
      </c>
    </row>
    <row r="76" spans="1:31" x14ac:dyDescent="0.2">
      <c r="A76" s="73" t="s">
        <v>1028</v>
      </c>
      <c r="B76" s="74">
        <v>46155</v>
      </c>
      <c r="C76" s="73" t="str">
        <f t="shared" si="2"/>
        <v>Eco-antibio2</v>
      </c>
      <c r="D76">
        <v>64</v>
      </c>
      <c r="E76" cm="1">
        <f t="array" ref="E76">INDEX(AAA!D:D,AE76)</f>
        <v>98021066</v>
      </c>
      <c r="F76" s="73" t="s">
        <v>1170</v>
      </c>
      <c r="G76" t="s">
        <v>1171</v>
      </c>
      <c r="H76" s="73" t="s">
        <v>35</v>
      </c>
      <c r="I76" t="s">
        <v>1343</v>
      </c>
      <c r="J76" s="73" t="str" cm="1">
        <f t="array" ref="J76">INDEX(AAA!E:E,AE76)</f>
        <v>7 CHEMIN DAMOUR</v>
      </c>
      <c r="K76" s="73" t="s">
        <v>39</v>
      </c>
      <c r="L76" t="str" cm="1">
        <f t="array" ref="L76">INDEX(AAA!C:C,AE76)</f>
        <v>SALAZIE</v>
      </c>
      <c r="M76" s="92" t="str" cm="1">
        <f t="array" ref="M76">INDEX(AAA!G:G,AE76)</f>
        <v>97433</v>
      </c>
      <c r="N76" s="92" t="str" cm="1">
        <f t="array" ref="N76">INDEX(AAA!B:B,AE76)</f>
        <v>C</v>
      </c>
      <c r="S76" s="77" t="s">
        <v>1172</v>
      </c>
      <c r="AE76" s="73">
        <f t="shared" si="1"/>
        <v>64</v>
      </c>
    </row>
    <row r="77" spans="1:31" x14ac:dyDescent="0.2">
      <c r="A77" s="73" t="s">
        <v>1029</v>
      </c>
      <c r="B77" s="74">
        <v>46155</v>
      </c>
      <c r="C77" s="73" t="str">
        <f t="shared" si="2"/>
        <v>Eco-antibio2</v>
      </c>
      <c r="D77">
        <v>117</v>
      </c>
      <c r="E77" cm="1">
        <f t="array" ref="E77">INDEX(AAA!D:D,AE77)</f>
        <v>98021568</v>
      </c>
      <c r="F77" s="73" t="str" cm="1">
        <f t="array" ref="F77">INDEX(AAA!A:A,AE77)</f>
        <v>GRONDIN JOSE MARTIN</v>
      </c>
      <c r="G77" t="s">
        <v>1173</v>
      </c>
      <c r="H77" s="73" t="s">
        <v>35</v>
      </c>
      <c r="I77" t="s">
        <v>1343</v>
      </c>
      <c r="J77" s="73" t="str" cm="1">
        <f t="array" ref="J77">INDEX(AAA!E:E,AE77)</f>
        <v>5 IMPASSE DES ABEILLES</v>
      </c>
      <c r="K77" s="73" t="s">
        <v>39</v>
      </c>
      <c r="L77" t="str" cm="1">
        <f t="array" ref="L77">INDEX(AAA!C:C,AE77)</f>
        <v>SALAZIE</v>
      </c>
      <c r="M77" s="92" t="str" cm="1">
        <f t="array" ref="M77">INDEX(AAA!G:G,AE77)</f>
        <v>97433</v>
      </c>
      <c r="N77" s="92" t="str" cm="1">
        <f t="array" ref="N77">INDEX(AAA!B:B,AE77)</f>
        <v>C</v>
      </c>
      <c r="S77" s="73" cm="1">
        <f t="array" ref="S77">INDEX(AAA!L:L,AE77)</f>
        <v>0</v>
      </c>
      <c r="AE77" s="73">
        <f t="shared" ref="AE77:AE92" si="3">D77</f>
        <v>117</v>
      </c>
    </row>
    <row r="78" spans="1:31" x14ac:dyDescent="0.2">
      <c r="A78" s="73" t="s">
        <v>1030</v>
      </c>
      <c r="B78" s="74">
        <v>46155</v>
      </c>
      <c r="C78" s="73" t="str">
        <f t="shared" si="2"/>
        <v>Eco-antibio2</v>
      </c>
      <c r="D78">
        <v>136</v>
      </c>
      <c r="E78" cm="1">
        <f t="array" ref="E78">INDEX(AAA!D:D,AE78)</f>
        <v>98021543</v>
      </c>
      <c r="F78" s="73" t="s">
        <v>1174</v>
      </c>
      <c r="G78" t="s">
        <v>1175</v>
      </c>
      <c r="H78" s="73" t="s">
        <v>35</v>
      </c>
      <c r="I78" t="s">
        <v>1343</v>
      </c>
      <c r="J78" s="73" t="str" cm="1">
        <f t="array" ref="J78">INDEX(AAA!E:E,AE78)</f>
        <v xml:space="preserve">16  CHEMIN DU STADE </v>
      </c>
      <c r="K78" s="73" t="s">
        <v>39</v>
      </c>
      <c r="L78" t="str" cm="1">
        <f t="array" ref="L78">INDEX(AAA!C:C,AE78)</f>
        <v>SALAZIE</v>
      </c>
      <c r="M78" s="92" cm="1">
        <f t="array" ref="M78">INDEX(AAA!G:G,AE78)</f>
        <v>97433</v>
      </c>
      <c r="N78" s="92" t="str" cm="1">
        <f t="array" ref="N78">INDEX(AAA!B:B,AE78)</f>
        <v>I</v>
      </c>
      <c r="S78" s="73" t="str" cm="1">
        <f t="array" ref="S78">INDEX(AAA!L:L,AE78)</f>
        <v>pmaillot1974@gmail.com</v>
      </c>
      <c r="AE78" s="73">
        <f t="shared" si="3"/>
        <v>136</v>
      </c>
    </row>
    <row r="79" spans="1:31" x14ac:dyDescent="0.2">
      <c r="A79" s="73" t="s">
        <v>1031</v>
      </c>
      <c r="B79" s="74">
        <v>46141</v>
      </c>
      <c r="C79" s="73" t="str">
        <f>C77</f>
        <v>Eco-antibio2</v>
      </c>
      <c r="D79">
        <v>96</v>
      </c>
      <c r="E79" cm="1">
        <f t="array" ref="E79">INDEX(AAA!D:D,AE79)</f>
        <v>98022298</v>
      </c>
      <c r="F79" s="73" t="s">
        <v>1178</v>
      </c>
      <c r="G79" t="s">
        <v>1180</v>
      </c>
      <c r="H79" s="73"/>
      <c r="I79" t="s">
        <v>1176</v>
      </c>
      <c r="J79" s="73" t="str" cm="1">
        <f t="array" ref="J79">INDEX(AAA!E:E,AE79)</f>
        <v>17 CHEMIN BOIS DES REMPARTS</v>
      </c>
      <c r="K79" s="73" t="s">
        <v>39</v>
      </c>
      <c r="L79" t="str" cm="1">
        <f t="array" ref="L79">INDEX(AAA!C:C,AE79)</f>
        <v>LE TAMPON/PLAINE DES CAFRES</v>
      </c>
      <c r="M79" s="92" t="str" cm="1">
        <f t="array" ref="M79">INDEX(AAA!G:G,AE79)</f>
        <v>97430</v>
      </c>
      <c r="N79" s="92" t="str" cm="1">
        <f t="array" ref="N79">INDEX(AAA!B:B,AE79)</f>
        <v>C</v>
      </c>
      <c r="S79" s="77" t="s">
        <v>1181</v>
      </c>
      <c r="AE79" s="73">
        <f t="shared" ref="AE79" si="4">D79</f>
        <v>96</v>
      </c>
    </row>
    <row r="80" spans="1:31" x14ac:dyDescent="0.2">
      <c r="A80" s="73" t="s">
        <v>1177</v>
      </c>
      <c r="B80" s="74">
        <v>46141</v>
      </c>
      <c r="C80" s="73" t="str">
        <f>C78</f>
        <v>Eco-antibio2</v>
      </c>
      <c r="D80">
        <v>95</v>
      </c>
      <c r="E80" cm="1">
        <f t="array" ref="E80">INDEX(AAA!D:D,AE80)</f>
        <v>98212201</v>
      </c>
      <c r="F80" s="73" t="s">
        <v>1179</v>
      </c>
      <c r="G80" t="s">
        <v>1180</v>
      </c>
      <c r="H80" s="73"/>
      <c r="I80" t="s">
        <v>1176</v>
      </c>
      <c r="J80" s="73" t="str" cm="1">
        <f t="array" ref="J80">INDEX(AAA!E:E,AE80)</f>
        <v>17 CHEMIN BOIS DES REMPARTS</v>
      </c>
      <c r="K80" s="73" t="s">
        <v>39</v>
      </c>
      <c r="L80" t="str" cm="1">
        <f t="array" ref="L80">INDEX(AAA!C:C,AE80)</f>
        <v>SAINT JOSEPH</v>
      </c>
      <c r="M80" s="92" t="str" cm="1">
        <f t="array" ref="M80">INDEX(AAA!G:G,AE80)</f>
        <v>97430</v>
      </c>
      <c r="N80" s="92" t="str" cm="1">
        <f t="array" ref="N80">INDEX(AAA!B:B,AE80)</f>
        <v>C</v>
      </c>
      <c r="S80" s="77" t="s">
        <v>1181</v>
      </c>
      <c r="AE80" s="73">
        <f t="shared" si="3"/>
        <v>95</v>
      </c>
    </row>
    <row r="81" spans="1:31" x14ac:dyDescent="0.2">
      <c r="A81" s="73" t="s">
        <v>1032</v>
      </c>
      <c r="B81" s="74">
        <v>46141</v>
      </c>
      <c r="C81" s="73" t="str">
        <f t="shared" si="2"/>
        <v>Eco-antibio2</v>
      </c>
      <c r="D81">
        <v>60</v>
      </c>
      <c r="E81" cm="1">
        <f t="array" ref="E81">INDEX(AAA!D:D,AE81)</f>
        <v>98122422</v>
      </c>
      <c r="F81" s="73" t="str" cm="1">
        <f t="array" ref="F81">INDEX(AAA!A:A,AE81)</f>
        <v>EARL FERME DU BONHEUR</v>
      </c>
      <c r="G81" t="s">
        <v>1182</v>
      </c>
      <c r="H81" s="73"/>
      <c r="I81" t="s">
        <v>1176</v>
      </c>
      <c r="J81" s="73" t="str" cm="1">
        <f t="array" ref="J81">INDEX(AAA!E:E,AE81)</f>
        <v>29 ROUTE DES GERANIUMS</v>
      </c>
      <c r="K81" s="73" t="s">
        <v>39</v>
      </c>
      <c r="L81" t="str" cm="1">
        <f t="array" ref="L81">INDEX(AAA!C:C,AE81)</f>
        <v>LE TAMPON/PLAINE DES CAFRES</v>
      </c>
      <c r="M81" s="92" t="str" cm="1">
        <f t="array" ref="M81">INDEX(AAA!G:G,AE81)</f>
        <v>97418</v>
      </c>
      <c r="N81" s="92" t="str" cm="1">
        <f t="array" ref="N81">INDEX(AAA!B:B,AE81)</f>
        <v>C</v>
      </c>
      <c r="S81" s="73" t="str" cm="1">
        <f t="array" ref="S81">INDEX(AAA!L:L,AE81)</f>
        <v>fermedubonheur@outlook.com</v>
      </c>
      <c r="AE81" s="73">
        <f t="shared" si="3"/>
        <v>60</v>
      </c>
    </row>
    <row r="82" spans="1:31" x14ac:dyDescent="0.2">
      <c r="A82" s="73" t="s">
        <v>1033</v>
      </c>
      <c r="B82" s="74">
        <v>46148</v>
      </c>
      <c r="C82" s="73" t="str">
        <f t="shared" si="2"/>
        <v>Eco-antibio2</v>
      </c>
      <c r="D82">
        <v>152</v>
      </c>
      <c r="E82" cm="1">
        <f t="array" ref="E82">INDEX(AAA!D:D,AE82)</f>
        <v>98010063</v>
      </c>
      <c r="F82" s="73" t="s">
        <v>1183</v>
      </c>
      <c r="G82" t="s">
        <v>1184</v>
      </c>
      <c r="H82" s="73"/>
      <c r="I82" t="s">
        <v>1176</v>
      </c>
      <c r="J82" s="73" cm="1">
        <f t="array" ref="J82">INDEX(AAA!E:E,AE82)</f>
        <v>0</v>
      </c>
      <c r="K82" s="73" t="s">
        <v>39</v>
      </c>
      <c r="L82" t="str" cm="1">
        <f t="array" ref="L82">INDEX(AAA!C:C,AE82)</f>
        <v>SAINT ANDRE / SAINT BENOIT</v>
      </c>
      <c r="M82" s="92" cm="1">
        <f t="array" ref="M82">INDEX(AAA!G:G,AE82)</f>
        <v>0</v>
      </c>
      <c r="N82" s="92" t="str" cm="1">
        <f t="array" ref="N82">INDEX(AAA!B:B,AE82)</f>
        <v>C</v>
      </c>
      <c r="S82" s="73" t="str" cm="1">
        <f t="array" ref="S82">INDEX(AAA!L:L,AE82)</f>
        <v>wendy.clain@royalbourbon.com jldurand31@gmail.com  dmoreau@royalbourbon.com</v>
      </c>
      <c r="AE82" s="73">
        <f t="shared" si="3"/>
        <v>152</v>
      </c>
    </row>
    <row r="83" spans="1:31" x14ac:dyDescent="0.2">
      <c r="A83" s="73" t="s">
        <v>1034</v>
      </c>
      <c r="B83" s="74">
        <v>46157</v>
      </c>
      <c r="C83" s="73" t="str">
        <f t="shared" si="2"/>
        <v>Eco-antibio2</v>
      </c>
      <c r="D83">
        <v>15</v>
      </c>
      <c r="E83" cm="1">
        <f t="array" ref="E83">INDEX(AAA!D:D,AE83)</f>
        <v>98212027</v>
      </c>
      <c r="F83" s="73" t="s">
        <v>1185</v>
      </c>
      <c r="G83" t="s">
        <v>1146</v>
      </c>
      <c r="H83" s="73"/>
      <c r="I83" t="s">
        <v>1176</v>
      </c>
      <c r="J83" s="73" t="str" cm="1">
        <f t="array" ref="J83">INDEX(AAA!E:E,AE83)</f>
        <v>93 CHEMIN DE LA FORÊT</v>
      </c>
      <c r="K83" s="73" t="s">
        <v>39</v>
      </c>
      <c r="L83" t="str" cm="1">
        <f t="array" ref="L83">INDEX(AAA!C:C,AE83)</f>
        <v>SAINT JOSEPH</v>
      </c>
      <c r="M83" s="92" cm="1">
        <f t="array" ref="M83">INDEX(AAA!G:G,AE83)</f>
        <v>97480</v>
      </c>
      <c r="N83" s="92" t="str" cm="1">
        <f t="array" ref="N83">INDEX(AAA!B:B,AE83)</f>
        <v>I</v>
      </c>
      <c r="S83" s="73" t="str" cm="1">
        <f t="array" ref="S83">INDEX(AAA!L:L,AE83)</f>
        <v>beguegabriel@hotmail.fr</v>
      </c>
      <c r="AE83" s="73">
        <f t="shared" si="3"/>
        <v>15</v>
      </c>
    </row>
    <row r="84" spans="1:31" x14ac:dyDescent="0.2">
      <c r="A84" s="73" t="s">
        <v>1035</v>
      </c>
      <c r="B84" s="74">
        <v>46147</v>
      </c>
      <c r="C84" s="73" t="str">
        <f t="shared" si="2"/>
        <v>Eco-antibio2</v>
      </c>
      <c r="D84">
        <v>101</v>
      </c>
      <c r="E84" cm="1">
        <f t="array" ref="E84">INDEX(AAA!D:D,AE84)</f>
        <v>98005119</v>
      </c>
      <c r="F84" s="73" t="str" cm="1">
        <f t="array" ref="F84">INDEX(AAA!A:A,AE84)</f>
        <v>EARL RAVINE DU PONT LES BAS</v>
      </c>
      <c r="G84" t="s">
        <v>1335</v>
      </c>
      <c r="H84" s="73"/>
      <c r="I84" t="s">
        <v>1176</v>
      </c>
      <c r="J84" s="73" t="s">
        <v>1334</v>
      </c>
      <c r="K84" s="73" t="s">
        <v>39</v>
      </c>
      <c r="L84" t="str" cm="1">
        <f t="array" ref="L84">INDEX(AAA!C:C,AE84)</f>
        <v>SAINT PIERRE / PETITE ILE</v>
      </c>
      <c r="M84" s="92" t="str" cm="1">
        <f t="array" ref="M84">INDEX(AAA!G:G,AE84)</f>
        <v>97429</v>
      </c>
      <c r="N84" s="92" t="str" cm="1">
        <f t="array" ref="N84">INDEX(AAA!B:B,AE84)</f>
        <v>C</v>
      </c>
      <c r="S84" s="73" t="str" cm="1">
        <f t="array" ref="S84">INDEX(AAA!L:L,AE84)</f>
        <v>barzoliv974@gmail.com</v>
      </c>
      <c r="AE84" s="73">
        <f t="shared" si="3"/>
        <v>101</v>
      </c>
    </row>
    <row r="85" spans="1:31" x14ac:dyDescent="0.2">
      <c r="A85" s="73" t="s">
        <v>1036</v>
      </c>
      <c r="B85" s="74">
        <v>46148</v>
      </c>
      <c r="C85" s="73" t="str">
        <f t="shared" si="2"/>
        <v>Eco-antibio2</v>
      </c>
      <c r="D85">
        <v>42</v>
      </c>
      <c r="E85" cm="1">
        <f t="array" ref="E85">INDEX(AAA!D:D,AE85)</f>
        <v>98019020</v>
      </c>
      <c r="F85" s="73" t="str" cm="1">
        <f t="array" ref="F85">INDEX(AAA!A:A,AE85)</f>
        <v>EARL BONNE ESPERANCE</v>
      </c>
      <c r="G85" t="s">
        <v>1336</v>
      </c>
      <c r="H85" s="73"/>
      <c r="I85" t="s">
        <v>1176</v>
      </c>
      <c r="J85" s="73" t="str" cm="1">
        <f t="array" ref="J85">INDEX(AAA!E:E,AE85)</f>
        <v>8 CHEMIN SOUCANE</v>
      </c>
      <c r="K85" s="73" t="s">
        <v>39</v>
      </c>
      <c r="L85" t="str" cm="1">
        <f t="array" ref="L85">INDEX(AAA!C:C,AE85)</f>
        <v>PLAINE DES PALMISTES/ SAINTE ANNE</v>
      </c>
      <c r="M85" s="92" t="str" cm="1">
        <f t="array" ref="M85">INDEX(AAA!G:G,AE85)</f>
        <v>97439</v>
      </c>
      <c r="N85" s="92" t="str" cm="1">
        <f t="array" ref="N85">INDEX(AAA!B:B,AE85)</f>
        <v>C</v>
      </c>
      <c r="S85" s="73" t="str" cm="1">
        <f t="array" ref="S85">INDEX(AAA!L:L,AE85)</f>
        <v>yolaine.soucane@gmail.com</v>
      </c>
      <c r="AE85" s="73">
        <f t="shared" si="3"/>
        <v>42</v>
      </c>
    </row>
    <row r="86" spans="1:31" x14ac:dyDescent="0.2">
      <c r="A86" s="73" t="s">
        <v>1037</v>
      </c>
      <c r="B86" s="74">
        <v>46147</v>
      </c>
      <c r="C86" s="73" t="str">
        <f t="shared" si="2"/>
        <v>Eco-antibio2</v>
      </c>
      <c r="D86">
        <v>116</v>
      </c>
      <c r="E86" cm="1">
        <f t="array" ref="E86">INDEX(AAA!D:D,AE86)</f>
        <v>98012251</v>
      </c>
      <c r="F86" s="73" t="str" cm="1">
        <f t="array" ref="F86">INDEX(AAA!A:A,AE86)</f>
        <v>GRONDIN JEANNICK</v>
      </c>
      <c r="G86" t="s">
        <v>1186</v>
      </c>
      <c r="H86" s="73"/>
      <c r="I86" t="s">
        <v>1176</v>
      </c>
      <c r="J86" s="73" t="str" cm="1">
        <f t="array" ref="J86">INDEX(AAA!E:E,AE86)</f>
        <v>106 RUE DES JACQUES</v>
      </c>
      <c r="K86" s="73" t="s">
        <v>39</v>
      </c>
      <c r="L86" t="str" cm="1">
        <f t="array" ref="L86">INDEX(AAA!C:C,AE86)</f>
        <v>SAINT JOSEPH</v>
      </c>
      <c r="M86" s="92" t="str" cm="1">
        <f t="array" ref="M86">INDEX(AAA!G:G,AE86)</f>
        <v>97480</v>
      </c>
      <c r="N86" s="92" t="str" cm="1">
        <f t="array" ref="N86">INDEX(AAA!B:B,AE86)</f>
        <v>C</v>
      </c>
      <c r="S86" s="73" t="str" cm="1">
        <f t="array" ref="S86">INDEX(AAA!L:L,AE86)</f>
        <v>jeannickgrondin70@gmail.com</v>
      </c>
      <c r="AE86" s="73">
        <f t="shared" si="3"/>
        <v>116</v>
      </c>
    </row>
    <row r="87" spans="1:31" x14ac:dyDescent="0.2">
      <c r="A87" s="73" t="s">
        <v>1038</v>
      </c>
      <c r="B87" s="74">
        <v>46169</v>
      </c>
      <c r="C87" s="73" t="str">
        <f t="shared" si="2"/>
        <v>Eco-antibio2</v>
      </c>
      <c r="D87">
        <v>158</v>
      </c>
      <c r="E87" cm="1">
        <f t="array" ref="E87">INDEX(AAA!D:D,AE87)</f>
        <v>98005127</v>
      </c>
      <c r="F87" s="73" t="s">
        <v>1187</v>
      </c>
      <c r="G87" t="s">
        <v>1337</v>
      </c>
      <c r="H87" s="73"/>
      <c r="I87" t="s">
        <v>1176</v>
      </c>
      <c r="J87" s="73" t="str" cm="1">
        <f t="array" ref="J87">INDEX(AAA!E:E,AE87)</f>
        <v>98 CHEMIN LEOPOLD LEBON</v>
      </c>
      <c r="K87" s="73" t="s">
        <v>39</v>
      </c>
      <c r="L87" t="str" cm="1">
        <f t="array" ref="L87">INDEX(AAA!C:C,AE87)</f>
        <v>SAINT PIERRE / PETITE ILE</v>
      </c>
      <c r="M87" s="92" t="str" cm="1">
        <f t="array" ref="M87">INDEX(AAA!G:G,AE87)</f>
        <v>97429</v>
      </c>
      <c r="N87" s="92" t="str" cm="1">
        <f t="array" ref="N87">INDEX(AAA!B:B,AE87)</f>
        <v>C</v>
      </c>
      <c r="S87" s="77" t="s">
        <v>1188</v>
      </c>
      <c r="AE87" s="73">
        <f t="shared" si="3"/>
        <v>158</v>
      </c>
    </row>
    <row r="88" spans="1:31" x14ac:dyDescent="0.2">
      <c r="A88" s="73" t="s">
        <v>1039</v>
      </c>
      <c r="B88" s="74">
        <v>46169</v>
      </c>
      <c r="C88" s="73" t="str">
        <f t="shared" si="2"/>
        <v>Eco-antibio2</v>
      </c>
      <c r="D88">
        <v>65</v>
      </c>
      <c r="E88" cm="1">
        <f t="array" ref="E88">INDEX(AAA!D:D,AE88)</f>
        <v>98316171</v>
      </c>
      <c r="F88" s="73" t="str" cm="1">
        <f t="array" ref="F88">INDEX(AAA!A:A,AE88)</f>
        <v>EARL HKC</v>
      </c>
      <c r="G88" s="140" t="s">
        <v>1338</v>
      </c>
      <c r="H88" s="73"/>
      <c r="I88" t="s">
        <v>1176</v>
      </c>
      <c r="J88" s="73" t="str" cm="1">
        <f t="array" ref="J88">INDEX(AAA!E:E,AE88)</f>
        <v>12 CHEMIN CURIAL</v>
      </c>
      <c r="K88" s="73" t="s">
        <v>39</v>
      </c>
      <c r="L88" t="str" cm="1">
        <f t="array" ref="L88">INDEX(AAA!C:C,AE88)</f>
        <v>SAINT PIERRE / PETITE ILE</v>
      </c>
      <c r="M88" s="92" t="str" cm="1">
        <f t="array" ref="M88">INDEX(AAA!G:G,AE88)</f>
        <v>97410</v>
      </c>
      <c r="N88" s="92" t="str" cm="1">
        <f t="array" ref="N88">INDEX(AAA!B:B,AE88)</f>
        <v>C</v>
      </c>
      <c r="S88" s="73" t="str" cm="1">
        <f t="array" ref="S88">INDEX(AAA!L:L,AE88)</f>
        <v>earl.hkc@gmail.com</v>
      </c>
      <c r="AE88" s="73">
        <f t="shared" si="3"/>
        <v>65</v>
      </c>
    </row>
    <row r="89" spans="1:31" x14ac:dyDescent="0.2">
      <c r="A89" s="73" t="s">
        <v>1040</v>
      </c>
      <c r="B89" s="74">
        <v>46170</v>
      </c>
      <c r="C89" s="73" t="str">
        <f t="shared" si="2"/>
        <v>Eco-antibio2</v>
      </c>
      <c r="D89">
        <v>164</v>
      </c>
      <c r="E89" cm="1">
        <f t="array" ref="E89">INDEX(AAA!D:D,AE89)</f>
        <v>98110926</v>
      </c>
      <c r="F89" s="73" t="str" cm="1">
        <f t="array" ref="F89">INDEX(AAA!A:A,AE89)</f>
        <v>SCEA LE DOMAINE DE MELOSIE                            (EX SELLIER JEAN MARIE)</v>
      </c>
      <c r="G89" t="s">
        <v>1339</v>
      </c>
      <c r="H89" s="73"/>
      <c r="I89" t="s">
        <v>1176</v>
      </c>
      <c r="J89" s="73" t="str" cm="1">
        <f t="array" ref="J89">INDEX(AAA!E:E,AE89)</f>
        <v>97 CHEMIN CAP</v>
      </c>
      <c r="K89" s="73" t="s">
        <v>39</v>
      </c>
      <c r="L89" t="str" cm="1">
        <f t="array" ref="L89">INDEX(AAA!C:C,AE89)</f>
        <v>PLAINE DES PALMISTES/ SAINTE ANNE</v>
      </c>
      <c r="M89" s="92" t="str" cm="1">
        <f t="array" ref="M89">INDEX(AAA!G:G,AE89)</f>
        <v>97437</v>
      </c>
      <c r="N89" s="92" t="str" cm="1">
        <f t="array" ref="N89">INDEX(AAA!B:B,AE89)</f>
        <v>C</v>
      </c>
      <c r="S89" s="77" t="s">
        <v>1192</v>
      </c>
      <c r="AE89" s="73">
        <f t="shared" si="3"/>
        <v>164</v>
      </c>
    </row>
    <row r="90" spans="1:31" x14ac:dyDescent="0.2">
      <c r="A90" s="73" t="s">
        <v>1043</v>
      </c>
      <c r="B90" s="74">
        <v>46140</v>
      </c>
      <c r="C90" s="73" t="str">
        <f t="shared" si="2"/>
        <v>Eco-antibio2</v>
      </c>
      <c r="D90">
        <v>23</v>
      </c>
      <c r="E90" cm="1">
        <f t="array" ref="E90">INDEX(AAA!D:D,AE90)</f>
        <v>98016422</v>
      </c>
      <c r="F90" s="73" t="str" cm="1">
        <f t="array" ref="F90">INDEX(AAA!A:A,AE90)</f>
        <v>C.R.I.A.P</v>
      </c>
      <c r="G90" t="s">
        <v>1084</v>
      </c>
      <c r="H90" s="73"/>
      <c r="I90" t="s">
        <v>1176</v>
      </c>
      <c r="J90" s="73" t="str" cm="1">
        <f t="array" ref="J90">INDEX(AAA!E:E,AE90)</f>
        <v>1 ALLEE DU PETIT PARIS</v>
      </c>
      <c r="K90" s="73" t="s">
        <v>39</v>
      </c>
      <c r="L90" t="str" cm="1">
        <f t="array" ref="L90">INDEX(AAA!C:C,AE90)</f>
        <v>SAINT PIERRE / PETITE ILE</v>
      </c>
      <c r="M90" s="92" t="str" cm="1">
        <f t="array" ref="M90">INDEX(AAA!G:G,AE90)</f>
        <v>97410</v>
      </c>
      <c r="N90" s="92" t="str" cm="1">
        <f t="array" ref="N90">INDEX(AAA!B:B,AE90)</f>
        <v>C</v>
      </c>
      <c r="S90" s="77" t="s">
        <v>1191</v>
      </c>
      <c r="AE90" s="73">
        <f t="shared" ref="AE90" si="5">D90</f>
        <v>23</v>
      </c>
    </row>
    <row r="91" spans="1:31" x14ac:dyDescent="0.2">
      <c r="A91" s="73" t="s">
        <v>1042</v>
      </c>
      <c r="B91" s="74">
        <v>46140</v>
      </c>
      <c r="C91" s="73" t="str">
        <f t="shared" si="2"/>
        <v>Eco-antibio2</v>
      </c>
      <c r="D91">
        <v>84</v>
      </c>
      <c r="E91" cm="1">
        <f t="array" ref="E91">INDEX(AAA!D:D,AE91)</f>
        <v>98214275</v>
      </c>
      <c r="F91" s="73" t="str" cm="1">
        <f t="array" ref="F91">INDEX(AAA!A:A,AE91)</f>
        <v>EARL LES FRANCISCEAS (ex RIVIERE JEAN LOUIS)</v>
      </c>
      <c r="G91" t="s">
        <v>1340</v>
      </c>
      <c r="H91" s="73"/>
      <c r="I91" t="s">
        <v>1176</v>
      </c>
      <c r="J91" s="73" t="str" cm="1">
        <f t="array" ref="J91">INDEX(AAA!E:E,AE91)</f>
        <v>26 CHEMIN GRAND FOND</v>
      </c>
      <c r="K91" s="73" t="s">
        <v>39</v>
      </c>
      <c r="L91" t="str" cm="1">
        <f t="array" ref="L91">INDEX(AAA!C:C,AE91)</f>
        <v>ETANG SALE/SAINT LOUIS</v>
      </c>
      <c r="M91" s="92" t="str" cm="1">
        <f t="array" ref="M91">INDEX(AAA!G:G,AE91)</f>
        <v>97421</v>
      </c>
      <c r="N91" s="92" t="str" cm="1">
        <f t="array" ref="N91">INDEX(AAA!B:B,AE91)</f>
        <v>C</v>
      </c>
      <c r="S91" s="77" t="s">
        <v>1190</v>
      </c>
      <c r="AE91" s="73">
        <f t="shared" si="3"/>
        <v>84</v>
      </c>
    </row>
    <row r="92" spans="1:31" x14ac:dyDescent="0.2">
      <c r="A92" s="73" t="s">
        <v>1043</v>
      </c>
      <c r="B92" s="74">
        <v>46140</v>
      </c>
      <c r="C92" s="73" t="str">
        <f t="shared" si="2"/>
        <v>Eco-antibio2</v>
      </c>
      <c r="D92">
        <v>83</v>
      </c>
      <c r="E92" cm="1">
        <f t="array" ref="E92">INDEX(AAA!D:D,AE92)</f>
        <v>98114052</v>
      </c>
      <c r="F92" s="73" t="str" cm="1">
        <f t="array" ref="F92">INDEX(AAA!A:A,AE92)</f>
        <v>EARL LES FLEURS JAUNES</v>
      </c>
      <c r="G92" t="s">
        <v>1341</v>
      </c>
      <c r="H92" s="73"/>
      <c r="I92" t="s">
        <v>1176</v>
      </c>
      <c r="J92" s="73" t="str" cm="1">
        <f t="array" ref="J92">INDEX(AAA!E:E,AE92)</f>
        <v>61A RUE MONTPLAISIR</v>
      </c>
      <c r="K92" s="73" t="s">
        <v>39</v>
      </c>
      <c r="L92" t="str" cm="1">
        <f t="array" ref="L92">INDEX(AAA!C:C,AE92)</f>
        <v>ETANG SALE/SAINT LOUIS</v>
      </c>
      <c r="M92" s="92" cm="1">
        <f t="array" ref="M92">INDEX(AAA!G:G,AE92)</f>
        <v>97421</v>
      </c>
      <c r="N92" s="92" t="str" cm="1">
        <f t="array" ref="N92">INDEX(AAA!B:B,AE92)</f>
        <v>C</v>
      </c>
      <c r="S92" s="77" t="s">
        <v>1189</v>
      </c>
      <c r="AE92" s="73">
        <f t="shared" si="3"/>
        <v>83</v>
      </c>
    </row>
    <row r="93" spans="1:31" x14ac:dyDescent="0.2">
      <c r="A93" s="73"/>
      <c r="B93" s="74"/>
      <c r="C93" s="73"/>
      <c r="AE93" s="73"/>
    </row>
    <row r="94" spans="1:31" x14ac:dyDescent="0.2">
      <c r="A94" s="73"/>
      <c r="B94" s="74"/>
      <c r="C94" s="73"/>
      <c r="AE94" s="73"/>
    </row>
    <row r="95" spans="1:31" x14ac:dyDescent="0.2">
      <c r="A95" s="73"/>
      <c r="B95" s="74"/>
      <c r="C95" s="73"/>
      <c r="AE95" s="73"/>
    </row>
    <row r="96" spans="1:31" x14ac:dyDescent="0.2">
      <c r="A96" s="73"/>
      <c r="B96" s="74"/>
      <c r="C96" s="73"/>
      <c r="AE96" s="73"/>
    </row>
    <row r="97" spans="1:31" x14ac:dyDescent="0.2">
      <c r="A97" s="73"/>
      <c r="B97" s="74"/>
      <c r="C97" s="73"/>
      <c r="AE97" s="73"/>
    </row>
    <row r="98" spans="1:31" s="90" customFormat="1" x14ac:dyDescent="0.2">
      <c r="A98" s="73"/>
      <c r="B98" s="74"/>
      <c r="C98" s="75"/>
      <c r="M98" s="93"/>
      <c r="N98" s="93"/>
      <c r="AE98" s="73"/>
    </row>
    <row r="99" spans="1:31" x14ac:dyDescent="0.2">
      <c r="A99" s="73"/>
      <c r="B99" s="74"/>
      <c r="AE99" s="73"/>
    </row>
    <row r="100" spans="1:31" x14ac:dyDescent="0.2">
      <c r="AE100" s="73"/>
    </row>
    <row r="101" spans="1:31" x14ac:dyDescent="0.2">
      <c r="AE101" s="73"/>
    </row>
    <row r="102" spans="1:31" x14ac:dyDescent="0.2">
      <c r="AE102" s="73"/>
    </row>
    <row r="103" spans="1:31" x14ac:dyDescent="0.2">
      <c r="AE103" s="73"/>
    </row>
    <row r="104" spans="1:31" x14ac:dyDescent="0.2">
      <c r="AE104" s="73"/>
    </row>
    <row r="105" spans="1:31" x14ac:dyDescent="0.2">
      <c r="AE105" s="73"/>
    </row>
    <row r="106" spans="1:31" x14ac:dyDescent="0.2">
      <c r="AE106" s="73"/>
    </row>
    <row r="107" spans="1:31" x14ac:dyDescent="0.2">
      <c r="AE107" s="73"/>
    </row>
    <row r="108" spans="1:31" x14ac:dyDescent="0.2">
      <c r="AE108" s="73"/>
    </row>
    <row r="109" spans="1:31" x14ac:dyDescent="0.2">
      <c r="AE109" s="73"/>
    </row>
    <row r="110" spans="1:31" x14ac:dyDescent="0.2">
      <c r="AE110" s="73"/>
    </row>
    <row r="111" spans="1:31" x14ac:dyDescent="0.2">
      <c r="AE111" s="73"/>
    </row>
    <row r="112" spans="1:31" x14ac:dyDescent="0.2">
      <c r="AE112" s="73"/>
    </row>
    <row r="113" spans="31:31" x14ac:dyDescent="0.2">
      <c r="AE113" s="73"/>
    </row>
    <row r="114" spans="31:31" x14ac:dyDescent="0.2">
      <c r="AE114" s="73"/>
    </row>
    <row r="115" spans="31:31" x14ac:dyDescent="0.2">
      <c r="AE115" s="73"/>
    </row>
    <row r="116" spans="31:31" x14ac:dyDescent="0.2">
      <c r="AE116" s="73"/>
    </row>
    <row r="117" spans="31:31" x14ac:dyDescent="0.2">
      <c r="AE117" s="73"/>
    </row>
    <row r="118" spans="31:31" x14ac:dyDescent="0.2">
      <c r="AE118" s="73"/>
    </row>
    <row r="119" spans="31:31" x14ac:dyDescent="0.2">
      <c r="AE119" s="73"/>
    </row>
  </sheetData>
  <phoneticPr fontId="2" type="noConversion"/>
  <conditionalFormatting sqref="A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{A4550CEF-1C1E-F047-AE4D-F8997D3E5703}</x14:id>
        </ext>
      </extLst>
    </cfRule>
  </conditionalFormatting>
  <conditionalFormatting sqref="B1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{AAC3E674-4739-2D46-8D89-67D5CF842244}</x14:id>
        </ext>
      </extLst>
    </cfRule>
  </conditionalFormatting>
  <conditionalFormatting sqref="J1:K1 U1 C1:H1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{0C0C701E-B6A2-CD43-8370-4533CFAC88EC}</x14:id>
        </ext>
      </extLst>
    </cfRule>
  </conditionalFormatting>
  <conditionalFormatting sqref="L1:T1 V1:AB1 AE1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{AF0E3427-ECE9-7742-842B-BF2B8CCF057A}</x14:id>
        </ext>
      </extLst>
    </cfRule>
  </conditionalFormatting>
  <dataValidations count="2">
    <dataValidation type="list" allowBlank="1" showInputMessage="1" showErrorMessage="1" sqref="H2:H1048576" xr:uid="{012499B6-49C9-504B-A2EB-9AB0670AAF5B}">
      <formula1>"Multiplicateur,Naisseur-engraisseur,engraisseur"</formula1>
    </dataValidation>
    <dataValidation type="list" allowBlank="1" showInputMessage="1" showErrorMessage="1" sqref="I2:I1048576" xr:uid="{4480412C-BBFF-7B4D-9E14-932898D6A40F}">
      <formula1>" Fayçal   Khetim , Maleck Vasseur"</formula1>
    </dataValidation>
  </dataValidations>
  <hyperlinks>
    <hyperlink ref="S2" r:id="rId1" xr:uid="{35490E80-FA24-F64A-8E5D-C232121E4424}"/>
    <hyperlink ref="S6" r:id="rId2" xr:uid="{016CBD07-155A-3C44-BA06-8A5330B50636}"/>
    <hyperlink ref="S8" r:id="rId3" xr:uid="{8ED2B623-B23E-7A41-882E-07BC435FBB21}"/>
    <hyperlink ref="S12" r:id="rId4" xr:uid="{545EC2BB-BE8C-4740-94EA-E3250FF2C263}"/>
    <hyperlink ref="S15" r:id="rId5" xr:uid="{FC15162C-0021-1942-8351-87C8CC3F0A51}"/>
    <hyperlink ref="S22" r:id="rId6" xr:uid="{03AD65C4-1217-DE40-8873-3AA131661813}"/>
    <hyperlink ref="S23" r:id="rId7" xr:uid="{35C09F41-2AD0-8343-A50B-77F7C9F72075}"/>
    <hyperlink ref="S24" r:id="rId8" xr:uid="{1119D8AE-1057-064E-965B-248E2CE5A2BC}"/>
    <hyperlink ref="S27" r:id="rId9" xr:uid="{0C8B17A5-59B1-7647-89E9-2413345EBE9D}"/>
    <hyperlink ref="S28" r:id="rId10" xr:uid="{6D0E7F3D-E243-1248-9B99-E01CD7B367F7}"/>
    <hyperlink ref="S33" r:id="rId11" xr:uid="{675F5124-9638-FF43-BE1C-5685BD0C10D6}"/>
    <hyperlink ref="S38" r:id="rId12" xr:uid="{E7468E7B-FE5C-5043-91A8-3E61BD5570A7}"/>
    <hyperlink ref="S40" r:id="rId13" xr:uid="{7D507996-A3EC-1C4C-8CFA-6ADF54610620}"/>
    <hyperlink ref="S43" r:id="rId14" xr:uid="{474DC7A3-200E-5A4D-9A35-30A77031636D}"/>
    <hyperlink ref="S42" r:id="rId15" xr:uid="{1F1839F1-4BDC-8242-B8E6-D3495B38B700}"/>
    <hyperlink ref="S47" r:id="rId16" xr:uid="{91E98F1A-D334-394B-8A44-C2A65D1797EC}"/>
    <hyperlink ref="S50" r:id="rId17" xr:uid="{E65E058C-A240-184E-B47D-A9DB665F4610}"/>
    <hyperlink ref="S53" r:id="rId18" xr:uid="{5C1A082C-F1FB-144A-BD79-8A1102B23981}"/>
    <hyperlink ref="S57" r:id="rId19" xr:uid="{C16B6FD0-EE04-5B40-8CBD-62B4DD6808E4}"/>
    <hyperlink ref="S61" r:id="rId20" xr:uid="{2E04A225-F989-4A48-9FE8-BFC25A19CEC3}"/>
    <hyperlink ref="S63" r:id="rId21" xr:uid="{4ABC820D-20DF-384A-9601-2FDA90886D51}"/>
    <hyperlink ref="S65" r:id="rId22" xr:uid="{7FABE59C-1A4B-0946-B272-B5C680788326}"/>
    <hyperlink ref="S64" r:id="rId23" xr:uid="{382CBBBA-769E-C249-85BF-F5A3900AFE5E}"/>
    <hyperlink ref="S71" r:id="rId24" xr:uid="{ED6C52E0-A280-514D-8701-8EE612441EF9}"/>
    <hyperlink ref="S75" r:id="rId25" xr:uid="{3E00FA0B-7623-CD4A-81ED-4AB4C80AE39C}"/>
    <hyperlink ref="S76" r:id="rId26" xr:uid="{F0EA98ED-2EA1-854C-A526-85AB0533238C}"/>
    <hyperlink ref="S79" r:id="rId27" xr:uid="{09196764-B296-B945-8718-433947BF5FEC}"/>
    <hyperlink ref="S80" r:id="rId28" xr:uid="{2DE733E0-DB0E-9941-B34F-188E5E05429F}"/>
    <hyperlink ref="S87" r:id="rId29" xr:uid="{385E4BC3-7BD9-164C-91A6-A82E24761F7E}"/>
    <hyperlink ref="S92" r:id="rId30" xr:uid="{C8C103D1-3C48-C64D-A938-29C4CB871653}"/>
    <hyperlink ref="S89" r:id="rId31" xr:uid="{7138D6B2-2DEC-954F-B16A-89ACD2528F36}"/>
    <hyperlink ref="S91" r:id="rId32" xr:uid="{BCC419FF-5DC8-9546-9364-1CAC20E88142}"/>
    <hyperlink ref="S90" r:id="rId33" xr:uid="{27CA0C98-EF81-F84B-9D03-221EB8BB86C8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550CEF-1C1E-F047-AE4D-F8997D3E57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</xm:sqref>
        </x14:conditionalFormatting>
        <x14:conditionalFormatting xmlns:xm="http://schemas.microsoft.com/office/excel/2006/main">
          <x14:cfRule type="dataBar" id="{AAC3E674-4739-2D46-8D89-67D5CF8422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  <x14:conditionalFormatting xmlns:xm="http://schemas.microsoft.com/office/excel/2006/main">
          <x14:cfRule type="dataBar" id="{0C0C701E-B6A2-CD43-8370-4533CFAC88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J1:K1 U1 C1:H1</xm:sqref>
        </x14:conditionalFormatting>
        <x14:conditionalFormatting xmlns:xm="http://schemas.microsoft.com/office/excel/2006/main">
          <x14:cfRule type="dataBar" id="{AF0E3427-ECE9-7742-842B-BF2B8CCF05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L1:T1 V1:AB1 AE1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59A4-B212-E943-BD03-C02169EAA23B}">
  <sheetPr codeName="Feuil4"/>
  <dimension ref="A1:BP27"/>
  <sheetViews>
    <sheetView tabSelected="1" workbookViewId="0">
      <selection activeCell="H15" sqref="H15"/>
    </sheetView>
  </sheetViews>
  <sheetFormatPr baseColWidth="10" defaultRowHeight="16" x14ac:dyDescent="0.2"/>
  <cols>
    <col min="3" max="4" width="10.83203125" style="132"/>
    <col min="5" max="6" width="25.33203125" style="132" customWidth="1"/>
    <col min="7" max="7" width="10.83203125" style="132"/>
    <col min="8" max="9" width="17.6640625" style="132" customWidth="1"/>
    <col min="10" max="10" width="28.1640625" style="132" customWidth="1"/>
    <col min="11" max="17" width="10.83203125" style="132"/>
    <col min="18" max="29" width="8.83203125"/>
    <col min="61" max="62" width="40.83203125" bestFit="1" customWidth="1"/>
    <col min="69" max="16384" width="10.83203125" style="132"/>
  </cols>
  <sheetData>
    <row r="1" spans="1:68" ht="15" x14ac:dyDescent="0.2">
      <c r="A1" s="181" t="s">
        <v>943</v>
      </c>
      <c r="B1" s="181" t="s">
        <v>1636</v>
      </c>
      <c r="C1" s="132" t="s">
        <v>1206</v>
      </c>
      <c r="D1" s="132" t="s">
        <v>1207</v>
      </c>
      <c r="E1" s="132" t="s">
        <v>1208</v>
      </c>
      <c r="F1" s="132" t="s">
        <v>1540</v>
      </c>
      <c r="G1" s="132" t="s">
        <v>1209</v>
      </c>
      <c r="H1" s="132" t="s">
        <v>1210</v>
      </c>
      <c r="I1" s="132" t="s">
        <v>1535</v>
      </c>
      <c r="J1" s="132" t="s">
        <v>1211</v>
      </c>
      <c r="K1" s="132" t="s">
        <v>1212</v>
      </c>
      <c r="L1" s="132" t="s">
        <v>1213</v>
      </c>
      <c r="M1" s="132" t="s">
        <v>1214</v>
      </c>
      <c r="N1" s="132" t="s">
        <v>1215</v>
      </c>
      <c r="O1" s="132" t="s">
        <v>1216</v>
      </c>
      <c r="P1" s="132" t="s">
        <v>1217</v>
      </c>
      <c r="Q1" s="132" t="s">
        <v>1218</v>
      </c>
      <c r="R1" s="181" t="s">
        <v>1637</v>
      </c>
      <c r="S1" s="181" t="s">
        <v>1219</v>
      </c>
      <c r="T1" s="181" t="s">
        <v>1220</v>
      </c>
      <c r="U1" s="181" t="s">
        <v>1221</v>
      </c>
      <c r="V1" s="181" t="s">
        <v>1222</v>
      </c>
      <c r="W1" s="181" t="s">
        <v>1223</v>
      </c>
      <c r="X1" s="181" t="s">
        <v>1224</v>
      </c>
      <c r="Y1" s="181" t="s">
        <v>1225</v>
      </c>
      <c r="Z1" s="181" t="s">
        <v>1226</v>
      </c>
      <c r="AA1" s="181" t="s">
        <v>1227</v>
      </c>
      <c r="AB1" s="181" t="s">
        <v>1228</v>
      </c>
      <c r="AC1" s="181" t="s">
        <v>1229</v>
      </c>
      <c r="AD1" s="181" t="s">
        <v>1638</v>
      </c>
      <c r="AE1" s="181" t="s">
        <v>1230</v>
      </c>
      <c r="AF1" s="181" t="s">
        <v>1231</v>
      </c>
      <c r="AG1" s="181" t="s">
        <v>1232</v>
      </c>
      <c r="AH1" s="181" t="s">
        <v>1233</v>
      </c>
      <c r="AI1" s="181" t="s">
        <v>1234</v>
      </c>
      <c r="AJ1" s="181" t="s">
        <v>1235</v>
      </c>
      <c r="AK1" s="181" t="s">
        <v>1236</v>
      </c>
      <c r="AL1" s="181" t="s">
        <v>1237</v>
      </c>
      <c r="AM1" s="181" t="s">
        <v>1238</v>
      </c>
      <c r="AN1" s="181" t="s">
        <v>1639</v>
      </c>
      <c r="AO1" s="181" t="s">
        <v>1239</v>
      </c>
      <c r="AP1" s="181" t="s">
        <v>1240</v>
      </c>
      <c r="AQ1" s="181" t="s">
        <v>1241</v>
      </c>
      <c r="AR1" s="181" t="s">
        <v>1242</v>
      </c>
      <c r="AS1" s="181" t="s">
        <v>1243</v>
      </c>
      <c r="AT1" s="181" t="s">
        <v>1640</v>
      </c>
      <c r="AU1" s="181" t="s">
        <v>1641</v>
      </c>
      <c r="AV1" s="181" t="s">
        <v>1642</v>
      </c>
      <c r="AW1" s="181" t="s">
        <v>1643</v>
      </c>
      <c r="AX1" s="181" t="s">
        <v>1644</v>
      </c>
      <c r="AY1" s="181" t="s">
        <v>1645</v>
      </c>
      <c r="AZ1" s="181" t="s">
        <v>1646</v>
      </c>
      <c r="BA1" s="181" t="s">
        <v>1647</v>
      </c>
      <c r="BB1" s="181" t="s">
        <v>1648</v>
      </c>
      <c r="BC1" s="181" t="s">
        <v>1649</v>
      </c>
      <c r="BD1" s="181" t="s">
        <v>1650</v>
      </c>
      <c r="BE1" s="181" t="s">
        <v>1651</v>
      </c>
      <c r="BF1" s="181" t="s">
        <v>1652</v>
      </c>
      <c r="BG1" s="181" t="s">
        <v>1653</v>
      </c>
      <c r="BH1" s="181" t="s">
        <v>1654</v>
      </c>
      <c r="BI1" s="181" t="s">
        <v>1655</v>
      </c>
      <c r="BJ1" s="181" t="s">
        <v>1656</v>
      </c>
      <c r="BK1" s="181" t="s">
        <v>1657</v>
      </c>
      <c r="BL1" s="181" t="s">
        <v>1658</v>
      </c>
      <c r="BM1" s="181" t="s">
        <v>1659</v>
      </c>
      <c r="BN1" s="181" t="s">
        <v>1660</v>
      </c>
      <c r="BO1" s="181" t="s">
        <v>1661</v>
      </c>
      <c r="BP1" s="181" t="s">
        <v>1662</v>
      </c>
    </row>
    <row r="2" spans="1:68" x14ac:dyDescent="0.2">
      <c r="A2" t="s">
        <v>1244</v>
      </c>
      <c r="B2">
        <v>14</v>
      </c>
      <c r="C2" s="132">
        <v>27032772</v>
      </c>
      <c r="D2" s="132">
        <v>5283956</v>
      </c>
      <c r="E2" s="132" t="s">
        <v>1536</v>
      </c>
      <c r="F2" s="132">
        <v>0</v>
      </c>
      <c r="G2" s="132" t="s">
        <v>1245</v>
      </c>
      <c r="H2" s="133">
        <v>40</v>
      </c>
      <c r="I2" s="133"/>
      <c r="J2" s="132" t="s">
        <v>1200</v>
      </c>
      <c r="K2" s="132" t="s">
        <v>1246</v>
      </c>
      <c r="L2" s="132" t="s">
        <v>1247</v>
      </c>
      <c r="M2" s="132" t="s">
        <v>1248</v>
      </c>
      <c r="N2" s="132" t="s">
        <v>1249</v>
      </c>
      <c r="O2" s="132" t="s">
        <v>1250</v>
      </c>
      <c r="P2" s="132" t="s">
        <v>1251</v>
      </c>
      <c r="Q2" s="132" t="s">
        <v>1252</v>
      </c>
      <c r="R2" t="s">
        <v>1253</v>
      </c>
      <c r="T2" t="s">
        <v>1254</v>
      </c>
      <c r="U2" t="s">
        <v>1254</v>
      </c>
      <c r="Z2" t="s">
        <v>77</v>
      </c>
      <c r="AC2" t="s">
        <v>77</v>
      </c>
      <c r="AF2" t="s">
        <v>1254</v>
      </c>
      <c r="AH2" t="s">
        <v>1253</v>
      </c>
      <c r="AI2" t="s">
        <v>77</v>
      </c>
      <c r="AN2" t="s">
        <v>1253</v>
      </c>
      <c r="AQ2" t="s">
        <v>1253</v>
      </c>
      <c r="AR2" t="s">
        <v>1253</v>
      </c>
      <c r="AT2" t="s">
        <v>1253</v>
      </c>
      <c r="AU2" t="s">
        <v>77</v>
      </c>
      <c r="AV2" t="s">
        <v>77</v>
      </c>
      <c r="AW2" t="s">
        <v>77</v>
      </c>
      <c r="AX2" t="s">
        <v>1254</v>
      </c>
      <c r="AY2" t="s">
        <v>1253</v>
      </c>
      <c r="AZ2" t="s">
        <v>77</v>
      </c>
      <c r="BA2" t="s">
        <v>77</v>
      </c>
      <c r="BC2" t="s">
        <v>77</v>
      </c>
      <c r="BD2" t="s">
        <v>77</v>
      </c>
      <c r="BG2" t="s">
        <v>1254</v>
      </c>
      <c r="BH2" t="s">
        <v>77</v>
      </c>
      <c r="BI2" t="s">
        <v>1253</v>
      </c>
      <c r="BJ2" t="s">
        <v>1253</v>
      </c>
      <c r="BN2" t="s">
        <v>1254</v>
      </c>
      <c r="BP2" t="s">
        <v>1254</v>
      </c>
    </row>
    <row r="3" spans="1:68" x14ac:dyDescent="0.2">
      <c r="A3" t="s">
        <v>1255</v>
      </c>
      <c r="B3">
        <v>4</v>
      </c>
      <c r="C3" s="132">
        <v>5097238</v>
      </c>
      <c r="D3" s="132">
        <v>4881760</v>
      </c>
      <c r="E3" s="134" t="s">
        <v>1196</v>
      </c>
      <c r="F3" s="134">
        <v>2.15</v>
      </c>
      <c r="G3" s="134" t="s">
        <v>1256</v>
      </c>
      <c r="H3" s="135">
        <v>3268</v>
      </c>
      <c r="I3" s="135"/>
      <c r="J3" s="134" t="s">
        <v>1196</v>
      </c>
      <c r="K3" s="132" t="s">
        <v>1257</v>
      </c>
      <c r="L3" s="132" t="s">
        <v>1258</v>
      </c>
      <c r="M3" s="132" t="s">
        <v>1259</v>
      </c>
      <c r="N3" s="132" t="s">
        <v>1260</v>
      </c>
      <c r="O3" s="132" t="s">
        <v>1261</v>
      </c>
      <c r="P3" s="132" t="s">
        <v>1262</v>
      </c>
      <c r="Q3" s="132" t="s">
        <v>1263</v>
      </c>
      <c r="Y3" t="s">
        <v>77</v>
      </c>
      <c r="AO3" t="s">
        <v>77</v>
      </c>
    </row>
    <row r="4" spans="1:68" x14ac:dyDescent="0.2">
      <c r="A4" t="s">
        <v>1264</v>
      </c>
      <c r="B4">
        <v>2</v>
      </c>
      <c r="C4" s="132">
        <v>5041539</v>
      </c>
      <c r="D4" s="132">
        <v>4844996</v>
      </c>
      <c r="E4" s="134" t="s">
        <v>1539</v>
      </c>
      <c r="F4" s="134">
        <v>2.4300000000000002</v>
      </c>
      <c r="G4" s="134" t="s">
        <v>1202</v>
      </c>
      <c r="H4" s="132">
        <v>14</v>
      </c>
      <c r="J4" s="134" t="s">
        <v>1537</v>
      </c>
      <c r="K4" s="132" t="s">
        <v>1265</v>
      </c>
      <c r="L4" s="132" t="s">
        <v>1266</v>
      </c>
      <c r="M4" s="132" t="s">
        <v>1267</v>
      </c>
      <c r="N4" s="132" t="s">
        <v>1268</v>
      </c>
      <c r="O4" s="132" t="s">
        <v>1269</v>
      </c>
      <c r="P4" s="132" t="s">
        <v>1270</v>
      </c>
      <c r="Q4" s="132" t="s">
        <v>1251</v>
      </c>
      <c r="W4" t="s">
        <v>77</v>
      </c>
      <c r="AJ4" t="s">
        <v>77</v>
      </c>
      <c r="AL4" t="s">
        <v>77</v>
      </c>
      <c r="AM4" t="s">
        <v>77</v>
      </c>
    </row>
    <row r="5" spans="1:68" x14ac:dyDescent="0.2">
      <c r="A5" t="s">
        <v>1271</v>
      </c>
      <c r="B5">
        <v>4</v>
      </c>
      <c r="C5" s="132">
        <v>5064967</v>
      </c>
      <c r="D5" s="132">
        <v>4799630</v>
      </c>
      <c r="E5" s="136" t="s">
        <v>1196</v>
      </c>
      <c r="F5" s="132">
        <v>2.2599999999999998</v>
      </c>
      <c r="G5" s="136" t="s">
        <v>1256</v>
      </c>
      <c r="H5" s="132">
        <v>156</v>
      </c>
      <c r="J5" s="136" t="s">
        <v>1196</v>
      </c>
      <c r="K5" s="132" t="s">
        <v>1272</v>
      </c>
      <c r="L5" s="132" t="s">
        <v>1273</v>
      </c>
      <c r="M5" s="132" t="s">
        <v>1274</v>
      </c>
      <c r="N5" s="132" t="s">
        <v>1275</v>
      </c>
      <c r="O5" s="132" t="s">
        <v>1276</v>
      </c>
      <c r="P5" s="132" t="s">
        <v>1277</v>
      </c>
      <c r="Q5" s="132" t="s">
        <v>1278</v>
      </c>
      <c r="S5" t="s">
        <v>1279</v>
      </c>
      <c r="X5" t="s">
        <v>1279</v>
      </c>
      <c r="AG5" t="s">
        <v>1279</v>
      </c>
      <c r="AP5" t="s">
        <v>1279</v>
      </c>
      <c r="AS5" t="s">
        <v>77</v>
      </c>
    </row>
    <row r="6" spans="1:68" x14ac:dyDescent="0.2">
      <c r="A6" t="s">
        <v>1280</v>
      </c>
      <c r="B6">
        <v>2</v>
      </c>
      <c r="C6" s="132">
        <v>5002360</v>
      </c>
      <c r="D6" s="132">
        <v>4890216</v>
      </c>
      <c r="F6" s="134">
        <v>1.33</v>
      </c>
      <c r="G6" s="136" t="s">
        <v>1256</v>
      </c>
      <c r="H6" s="135">
        <v>3268</v>
      </c>
      <c r="I6" s="135"/>
      <c r="J6" s="136" t="s">
        <v>1196</v>
      </c>
      <c r="K6" s="132" t="s">
        <v>1257</v>
      </c>
      <c r="L6" s="132" t="s">
        <v>1258</v>
      </c>
      <c r="M6" s="132" t="s">
        <v>1259</v>
      </c>
      <c r="N6" s="132" t="s">
        <v>1260</v>
      </c>
      <c r="O6" s="132" t="s">
        <v>1261</v>
      </c>
      <c r="P6" s="132" t="s">
        <v>1262</v>
      </c>
      <c r="Q6" s="132" t="s">
        <v>1263</v>
      </c>
      <c r="Y6" t="s">
        <v>77</v>
      </c>
      <c r="AO6" t="s">
        <v>77</v>
      </c>
    </row>
    <row r="7" spans="1:68" x14ac:dyDescent="0.2">
      <c r="A7" t="s">
        <v>1281</v>
      </c>
      <c r="B7">
        <v>2</v>
      </c>
      <c r="C7" s="132">
        <v>4868117</v>
      </c>
      <c r="D7" s="132">
        <v>4775282</v>
      </c>
      <c r="E7" s="137" t="s">
        <v>1541</v>
      </c>
      <c r="F7" s="134">
        <v>2.37</v>
      </c>
      <c r="G7" s="134" t="s">
        <v>1202</v>
      </c>
      <c r="H7" s="132">
        <v>2706</v>
      </c>
      <c r="J7" s="137" t="s">
        <v>1538</v>
      </c>
      <c r="K7" s="132" t="s">
        <v>1282</v>
      </c>
      <c r="L7" s="132" t="s">
        <v>1283</v>
      </c>
      <c r="M7" s="132" t="s">
        <v>1284</v>
      </c>
      <c r="N7" s="132" t="s">
        <v>1285</v>
      </c>
      <c r="O7" s="132" t="s">
        <v>1286</v>
      </c>
      <c r="P7" s="132" t="s">
        <v>1287</v>
      </c>
      <c r="Q7" s="132" t="s">
        <v>1288</v>
      </c>
      <c r="V7" t="s">
        <v>77</v>
      </c>
      <c r="AA7" t="s">
        <v>77</v>
      </c>
      <c r="AI7" t="s">
        <v>77</v>
      </c>
      <c r="AL7" t="s">
        <v>77</v>
      </c>
      <c r="AM7" t="s">
        <v>77</v>
      </c>
    </row>
    <row r="8" spans="1:68" x14ac:dyDescent="0.2">
      <c r="A8" t="s">
        <v>1289</v>
      </c>
      <c r="B8">
        <v>2</v>
      </c>
      <c r="C8" s="132">
        <v>4868115</v>
      </c>
      <c r="D8" s="132">
        <v>4775282</v>
      </c>
      <c r="E8" s="137" t="s">
        <v>1542</v>
      </c>
      <c r="F8" s="132">
        <v>1.98</v>
      </c>
      <c r="G8" s="136" t="s">
        <v>1202</v>
      </c>
      <c r="H8" s="132">
        <v>2706</v>
      </c>
      <c r="J8" s="137" t="s">
        <v>1538</v>
      </c>
      <c r="K8" s="132" t="s">
        <v>1282</v>
      </c>
      <c r="L8" s="132" t="s">
        <v>1283</v>
      </c>
      <c r="M8" s="132" t="s">
        <v>1284</v>
      </c>
      <c r="N8" s="132" t="s">
        <v>1285</v>
      </c>
      <c r="O8" s="132" t="s">
        <v>1286</v>
      </c>
      <c r="P8" s="132" t="s">
        <v>1287</v>
      </c>
      <c r="Q8" s="132" t="s">
        <v>1288</v>
      </c>
      <c r="V8" t="s">
        <v>77</v>
      </c>
      <c r="AA8" t="s">
        <v>77</v>
      </c>
      <c r="AI8" t="s">
        <v>77</v>
      </c>
      <c r="AL8" t="s">
        <v>77</v>
      </c>
      <c r="AM8" t="s">
        <v>77</v>
      </c>
    </row>
    <row r="9" spans="1:68" x14ac:dyDescent="0.2">
      <c r="A9" t="s">
        <v>1290</v>
      </c>
      <c r="B9">
        <v>3</v>
      </c>
      <c r="C9" s="132">
        <v>5051203</v>
      </c>
      <c r="D9" s="132">
        <v>4816911</v>
      </c>
      <c r="E9" s="134" t="s">
        <v>1196</v>
      </c>
      <c r="F9" s="134">
        <v>2.31</v>
      </c>
      <c r="G9" s="134" t="s">
        <v>1256</v>
      </c>
      <c r="H9" s="132">
        <v>58</v>
      </c>
      <c r="J9" s="134" t="s">
        <v>1196</v>
      </c>
      <c r="K9" s="132" t="s">
        <v>1272</v>
      </c>
      <c r="L9" s="132" t="s">
        <v>1291</v>
      </c>
      <c r="M9" s="132" t="s">
        <v>1292</v>
      </c>
      <c r="N9" s="132" t="s">
        <v>1275</v>
      </c>
      <c r="O9" s="132" t="s">
        <v>1293</v>
      </c>
      <c r="P9" s="132" t="s">
        <v>1277</v>
      </c>
      <c r="Q9" s="132" t="s">
        <v>1294</v>
      </c>
      <c r="T9" t="s">
        <v>77</v>
      </c>
      <c r="U9" t="s">
        <v>77</v>
      </c>
      <c r="Y9" t="s">
        <v>77</v>
      </c>
      <c r="AE9" t="s">
        <v>77</v>
      </c>
      <c r="AO9" t="s">
        <v>77</v>
      </c>
      <c r="AP9" t="s">
        <v>77</v>
      </c>
    </row>
    <row r="10" spans="1:68" x14ac:dyDescent="0.2">
      <c r="A10" t="s">
        <v>1663</v>
      </c>
      <c r="B10">
        <v>5</v>
      </c>
      <c r="C10" s="132">
        <v>5203257</v>
      </c>
      <c r="D10" s="132">
        <v>4848643</v>
      </c>
      <c r="E10" s="132" t="s">
        <v>1536</v>
      </c>
      <c r="F10" s="134">
        <v>0</v>
      </c>
      <c r="G10" s="134" t="s">
        <v>1256</v>
      </c>
      <c r="H10" s="138">
        <v>58</v>
      </c>
      <c r="I10" s="138"/>
      <c r="J10" s="134" t="s">
        <v>1196</v>
      </c>
      <c r="K10" s="132" t="s">
        <v>1272</v>
      </c>
      <c r="L10" s="132" t="s">
        <v>1291</v>
      </c>
      <c r="M10" s="132" t="s">
        <v>1292</v>
      </c>
      <c r="N10" s="132" t="s">
        <v>1275</v>
      </c>
      <c r="O10" s="132" t="s">
        <v>1293</v>
      </c>
      <c r="P10" s="132" t="s">
        <v>1277</v>
      </c>
      <c r="Q10" s="132" t="s">
        <v>1294</v>
      </c>
      <c r="Y10" t="s">
        <v>77</v>
      </c>
      <c r="AE10" t="s">
        <v>77</v>
      </c>
      <c r="AO10" t="s">
        <v>77</v>
      </c>
      <c r="AR10" t="s">
        <v>77</v>
      </c>
    </row>
    <row r="11" spans="1:68" x14ac:dyDescent="0.2">
      <c r="A11" t="s">
        <v>1633</v>
      </c>
      <c r="B11">
        <v>8</v>
      </c>
      <c r="C11" s="132">
        <v>5152191</v>
      </c>
      <c r="D11" s="132">
        <v>4849008</v>
      </c>
      <c r="E11" s="134" t="s">
        <v>1196</v>
      </c>
      <c r="F11" s="132">
        <v>2.1</v>
      </c>
      <c r="G11" s="134" t="s">
        <v>1256</v>
      </c>
      <c r="H11" s="138">
        <v>58</v>
      </c>
      <c r="I11" s="138"/>
      <c r="J11" s="134" t="s">
        <v>1196</v>
      </c>
      <c r="K11" s="132" t="s">
        <v>1272</v>
      </c>
      <c r="L11" s="132" t="s">
        <v>1291</v>
      </c>
      <c r="M11" s="132" t="s">
        <v>1292</v>
      </c>
      <c r="N11" s="132" t="s">
        <v>1275</v>
      </c>
      <c r="O11" s="132" t="s">
        <v>1293</v>
      </c>
      <c r="P11" s="132" t="s">
        <v>1277</v>
      </c>
      <c r="Q11" s="132" t="s">
        <v>1294</v>
      </c>
      <c r="Y11" t="s">
        <v>77</v>
      </c>
      <c r="AE11" t="s">
        <v>77</v>
      </c>
      <c r="AO11" t="s">
        <v>77</v>
      </c>
      <c r="AR11" t="s">
        <v>77</v>
      </c>
    </row>
    <row r="12" spans="1:68" x14ac:dyDescent="0.2">
      <c r="A12" s="132" t="s">
        <v>1295</v>
      </c>
      <c r="B12">
        <v>2</v>
      </c>
      <c r="C12" s="132">
        <v>5376648</v>
      </c>
      <c r="D12" s="132">
        <v>5167309</v>
      </c>
      <c r="E12" s="132" t="s">
        <v>1536</v>
      </c>
      <c r="F12" s="134">
        <v>0</v>
      </c>
      <c r="G12" s="132" t="s">
        <v>1296</v>
      </c>
      <c r="H12" s="132">
        <v>4083</v>
      </c>
      <c r="J12" s="134" t="s">
        <v>1198</v>
      </c>
      <c r="K12" s="132" t="s">
        <v>1297</v>
      </c>
      <c r="L12" s="132" t="s">
        <v>1298</v>
      </c>
      <c r="M12" s="132" t="s">
        <v>1299</v>
      </c>
      <c r="N12" s="132" t="s">
        <v>1300</v>
      </c>
      <c r="O12" s="132" t="s">
        <v>1301</v>
      </c>
      <c r="P12" s="132" t="s">
        <v>1302</v>
      </c>
      <c r="Q12" s="132" t="s">
        <v>1303</v>
      </c>
      <c r="T12" t="s">
        <v>1304</v>
      </c>
      <c r="U12" t="s">
        <v>1304</v>
      </c>
      <c r="Y12" t="s">
        <v>1304</v>
      </c>
      <c r="AD12" t="s">
        <v>77</v>
      </c>
      <c r="AI12" t="s">
        <v>77</v>
      </c>
      <c r="AK12" t="s">
        <v>1304</v>
      </c>
      <c r="AL12" t="s">
        <v>77</v>
      </c>
      <c r="AO12" t="s">
        <v>1304</v>
      </c>
      <c r="AP12" t="s">
        <v>1304</v>
      </c>
      <c r="AR12" t="s">
        <v>1304</v>
      </c>
      <c r="AT12" t="s">
        <v>1304</v>
      </c>
      <c r="AV12" t="s">
        <v>1304</v>
      </c>
      <c r="BJ12" t="s">
        <v>1304</v>
      </c>
      <c r="BL12" t="s">
        <v>77</v>
      </c>
      <c r="BM12" t="s">
        <v>1304</v>
      </c>
      <c r="BO12" t="s">
        <v>1304</v>
      </c>
    </row>
    <row r="13" spans="1:68" x14ac:dyDescent="0.2">
      <c r="A13" s="132" t="s">
        <v>1305</v>
      </c>
      <c r="B13">
        <v>4</v>
      </c>
      <c r="C13" s="132">
        <v>4856057</v>
      </c>
      <c r="D13" s="132">
        <v>4733393</v>
      </c>
      <c r="E13" s="134" t="s">
        <v>1196</v>
      </c>
      <c r="F13" s="134">
        <v>2.31</v>
      </c>
      <c r="G13" s="132" t="s">
        <v>1256</v>
      </c>
      <c r="H13" s="132">
        <v>1598</v>
      </c>
      <c r="J13" s="134" t="s">
        <v>1196</v>
      </c>
      <c r="K13" s="132" t="s">
        <v>1306</v>
      </c>
      <c r="L13" s="132" t="s">
        <v>1307</v>
      </c>
      <c r="M13" s="132" t="s">
        <v>1308</v>
      </c>
      <c r="N13" s="132" t="s">
        <v>1309</v>
      </c>
      <c r="O13" s="132" t="s">
        <v>1310</v>
      </c>
      <c r="P13" s="132" t="s">
        <v>1311</v>
      </c>
      <c r="Q13" s="132" t="s">
        <v>1312</v>
      </c>
      <c r="Y13" t="s">
        <v>77</v>
      </c>
      <c r="AO13" t="s">
        <v>77</v>
      </c>
      <c r="AR13" t="s">
        <v>77</v>
      </c>
    </row>
    <row r="14" spans="1:68" x14ac:dyDescent="0.2">
      <c r="A14" t="s">
        <v>1634</v>
      </c>
      <c r="B14">
        <v>2</v>
      </c>
      <c r="C14" s="132">
        <v>5441692</v>
      </c>
      <c r="D14" s="132">
        <v>5304786</v>
      </c>
      <c r="E14" s="134" t="s">
        <v>1198</v>
      </c>
      <c r="F14" s="132">
        <v>2.2599999999999998</v>
      </c>
      <c r="G14" s="134" t="s">
        <v>1296</v>
      </c>
      <c r="H14" s="132">
        <v>6911</v>
      </c>
      <c r="J14" s="134" t="s">
        <v>1198</v>
      </c>
      <c r="K14" s="132" t="s">
        <v>1313</v>
      </c>
      <c r="L14" s="132" t="s">
        <v>1314</v>
      </c>
      <c r="M14" s="132" t="s">
        <v>1315</v>
      </c>
      <c r="N14" s="132" t="s">
        <v>1316</v>
      </c>
      <c r="O14" s="132" t="s">
        <v>1317</v>
      </c>
      <c r="P14" s="132" t="s">
        <v>1318</v>
      </c>
      <c r="Q14" s="132" t="s">
        <v>1319</v>
      </c>
      <c r="T14" t="s">
        <v>1320</v>
      </c>
      <c r="U14" t="s">
        <v>1320</v>
      </c>
      <c r="Y14" t="s">
        <v>1320</v>
      </c>
      <c r="AB14" t="s">
        <v>77</v>
      </c>
      <c r="AE14" t="s">
        <v>1320</v>
      </c>
      <c r="AF14" t="s">
        <v>1320</v>
      </c>
      <c r="AI14" t="s">
        <v>77</v>
      </c>
      <c r="AL14" t="s">
        <v>77</v>
      </c>
      <c r="AM14" t="s">
        <v>77</v>
      </c>
      <c r="AO14" t="s">
        <v>1320</v>
      </c>
      <c r="AP14" t="s">
        <v>1320</v>
      </c>
    </row>
    <row r="15" spans="1:68" x14ac:dyDescent="0.2">
      <c r="A15" s="132" t="s">
        <v>1632</v>
      </c>
      <c r="B15">
        <v>2</v>
      </c>
      <c r="C15" s="132">
        <v>5917447</v>
      </c>
      <c r="D15" s="132">
        <v>5842612</v>
      </c>
      <c r="E15" s="134"/>
      <c r="F15" s="134">
        <v>2.0099999999999998</v>
      </c>
      <c r="H15" s="132" t="s">
        <v>1194</v>
      </c>
      <c r="J15" s="134" t="s">
        <v>1199</v>
      </c>
      <c r="K15" s="132" t="s">
        <v>74</v>
      </c>
      <c r="L15" s="132" t="s">
        <v>74</v>
      </c>
      <c r="M15" s="132" t="s">
        <v>74</v>
      </c>
      <c r="N15" s="132" t="s">
        <v>74</v>
      </c>
      <c r="O15" s="132" t="s">
        <v>74</v>
      </c>
      <c r="P15" s="132" t="s">
        <v>74</v>
      </c>
      <c r="Q15" s="132" t="s">
        <v>74</v>
      </c>
      <c r="Z15" t="s">
        <v>77</v>
      </c>
      <c r="AC15" t="s">
        <v>77</v>
      </c>
    </row>
    <row r="16" spans="1:68" x14ac:dyDescent="0.2">
      <c r="A16" s="132" t="s">
        <v>1321</v>
      </c>
      <c r="B16">
        <v>5</v>
      </c>
      <c r="C16" s="132">
        <v>6357595</v>
      </c>
      <c r="D16" s="132">
        <v>5983823</v>
      </c>
      <c r="E16" s="132" t="s">
        <v>1200</v>
      </c>
      <c r="F16" s="134">
        <v>2.36</v>
      </c>
      <c r="G16" s="132" t="s">
        <v>1245</v>
      </c>
      <c r="H16" s="133">
        <v>40</v>
      </c>
      <c r="I16" s="133"/>
      <c r="J16" s="132" t="s">
        <v>1200</v>
      </c>
      <c r="K16" s="132" t="s">
        <v>1246</v>
      </c>
      <c r="L16" s="132" t="s">
        <v>1247</v>
      </c>
      <c r="M16" s="132" t="s">
        <v>1248</v>
      </c>
      <c r="N16" s="132" t="s">
        <v>1249</v>
      </c>
      <c r="O16" s="132" t="s">
        <v>1250</v>
      </c>
      <c r="P16" s="132" t="s">
        <v>1251</v>
      </c>
      <c r="Q16" s="132" t="s">
        <v>1252</v>
      </c>
      <c r="T16" t="s">
        <v>1322</v>
      </c>
      <c r="U16" t="s">
        <v>1322</v>
      </c>
      <c r="Y16" t="s">
        <v>1322</v>
      </c>
      <c r="AE16" t="s">
        <v>1322</v>
      </c>
      <c r="AF16" t="s">
        <v>1322</v>
      </c>
      <c r="AL16" t="s">
        <v>77</v>
      </c>
      <c r="AM16" t="s">
        <v>77</v>
      </c>
      <c r="AP16" t="s">
        <v>1322</v>
      </c>
      <c r="AV16" t="s">
        <v>77</v>
      </c>
      <c r="BD16" t="s">
        <v>77</v>
      </c>
      <c r="BG16" t="s">
        <v>1322</v>
      </c>
      <c r="BN16" t="s">
        <v>1322</v>
      </c>
      <c r="BP16" t="s">
        <v>1322</v>
      </c>
    </row>
    <row r="17" spans="1:63" x14ac:dyDescent="0.2">
      <c r="A17" s="132" t="s">
        <v>1323</v>
      </c>
      <c r="B17">
        <v>47</v>
      </c>
      <c r="C17" s="132">
        <v>5222421</v>
      </c>
      <c r="D17" s="132">
        <v>823155</v>
      </c>
      <c r="E17" s="134" t="s">
        <v>1196</v>
      </c>
      <c r="F17" s="132">
        <v>2.42</v>
      </c>
      <c r="G17" s="132" t="s">
        <v>1256</v>
      </c>
      <c r="H17" s="132">
        <v>50</v>
      </c>
      <c r="J17" s="134" t="s">
        <v>1196</v>
      </c>
      <c r="K17" s="132" t="s">
        <v>1324</v>
      </c>
      <c r="L17" s="132" t="s">
        <v>1307</v>
      </c>
      <c r="M17" s="132" t="s">
        <v>1292</v>
      </c>
      <c r="N17" s="132" t="s">
        <v>1325</v>
      </c>
      <c r="O17" s="132" t="s">
        <v>1310</v>
      </c>
      <c r="P17" s="132" t="s">
        <v>1277</v>
      </c>
      <c r="Q17" s="132" t="s">
        <v>1326</v>
      </c>
      <c r="Y17" t="s">
        <v>77</v>
      </c>
      <c r="AO17" t="s">
        <v>77</v>
      </c>
    </row>
    <row r="18" spans="1:63" x14ac:dyDescent="0.2">
      <c r="A18" s="132" t="s">
        <v>1635</v>
      </c>
      <c r="B18">
        <v>2</v>
      </c>
      <c r="C18" s="132">
        <v>5635962</v>
      </c>
      <c r="D18" s="132">
        <v>5414539</v>
      </c>
      <c r="E18" s="134" t="s">
        <v>1198</v>
      </c>
      <c r="F18" s="134">
        <v>2.41</v>
      </c>
      <c r="G18" s="132" t="s">
        <v>1296</v>
      </c>
      <c r="H18" s="132" t="s">
        <v>1534</v>
      </c>
      <c r="J18" s="134" t="s">
        <v>1198</v>
      </c>
      <c r="K18" s="132" t="s">
        <v>1297</v>
      </c>
      <c r="L18" s="132" t="s">
        <v>1327</v>
      </c>
      <c r="M18" s="132" t="s">
        <v>1299</v>
      </c>
      <c r="N18" s="132" t="s">
        <v>1300</v>
      </c>
      <c r="O18" s="132" t="s">
        <v>1328</v>
      </c>
      <c r="P18" s="132" t="s">
        <v>1302</v>
      </c>
      <c r="Q18" s="132" t="s">
        <v>1329</v>
      </c>
      <c r="Y18" t="s">
        <v>1330</v>
      </c>
      <c r="AE18" t="s">
        <v>1330</v>
      </c>
      <c r="AF18" t="s">
        <v>1330</v>
      </c>
      <c r="AI18" t="s">
        <v>77</v>
      </c>
      <c r="AM18" t="s">
        <v>77</v>
      </c>
      <c r="AO18" t="s">
        <v>1330</v>
      </c>
      <c r="AP18" t="s">
        <v>1330</v>
      </c>
      <c r="BE18" t="s">
        <v>77</v>
      </c>
      <c r="BF18" t="s">
        <v>1330</v>
      </c>
      <c r="BK18" t="s">
        <v>77</v>
      </c>
    </row>
    <row r="21" spans="1:63" x14ac:dyDescent="0.2">
      <c r="R21" s="183"/>
    </row>
    <row r="27" spans="1:63" x14ac:dyDescent="0.2">
      <c r="E27" s="182"/>
      <c r="F27" s="182"/>
      <c r="G27" s="182"/>
      <c r="J27" s="134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95F29-3F2C-F949-A330-76CD04BE649B}">
  <sheetPr codeName="Feuil5"/>
  <dimension ref="A1:BP23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BQ92" sqref="BQ92"/>
    </sheetView>
  </sheetViews>
  <sheetFormatPr baseColWidth="10" defaultRowHeight="16" x14ac:dyDescent="0.2"/>
  <cols>
    <col min="1" max="1" width="12.6640625" style="146" customWidth="1"/>
    <col min="2" max="2" width="28.5" style="147" customWidth="1"/>
    <col min="3" max="4" width="10.83203125" style="147"/>
    <col min="5" max="5" width="10.83203125" style="148"/>
    <col min="6" max="6" width="28" style="148" bestFit="1" customWidth="1"/>
    <col min="7" max="7" width="14.5" style="149" customWidth="1"/>
    <col min="8" max="8" width="16.33203125" style="150" customWidth="1"/>
    <col min="9" max="9" width="18.5" style="150" bestFit="1" customWidth="1"/>
    <col min="10" max="10" width="10.33203125" style="150" customWidth="1"/>
    <col min="11" max="11" width="10.83203125" style="150"/>
    <col min="12" max="13" width="12.5" style="150" customWidth="1"/>
    <col min="14" max="14" width="19" style="150" customWidth="1"/>
    <col min="15" max="15" width="14" style="151" customWidth="1"/>
    <col min="16" max="16" width="23.83203125" style="152" customWidth="1"/>
    <col min="17" max="17" width="19.33203125" style="153" customWidth="1"/>
    <col min="18" max="18" width="25.83203125" style="153" customWidth="1"/>
    <col min="19" max="19" width="32.1640625" style="153" customWidth="1"/>
    <col min="20" max="20" width="30" style="154" bestFit="1" customWidth="1"/>
    <col min="21" max="22" width="21.5" style="154" customWidth="1"/>
    <col min="23" max="23" width="21.5" style="154" bestFit="1" customWidth="1"/>
    <col min="24" max="26" width="21.5" style="154" customWidth="1"/>
    <col min="27" max="28" width="21.5" style="154" bestFit="1" customWidth="1"/>
    <col min="29" max="29" width="17.1640625" style="155" customWidth="1"/>
    <col min="30" max="30" width="21.5" style="156" customWidth="1"/>
    <col min="31" max="31" width="26" style="156" bestFit="1" customWidth="1"/>
    <col min="32" max="32" width="17.33203125" style="157" customWidth="1"/>
    <col min="33" max="33" width="23.5" style="158" customWidth="1"/>
    <col min="34" max="34" width="14.1640625" style="159" customWidth="1"/>
    <col min="35" max="35" width="15.6640625" style="160" bestFit="1" customWidth="1"/>
    <col min="36" max="36" width="19.6640625" style="160" customWidth="1"/>
    <col min="37" max="37" width="14.5" style="160" bestFit="1" customWidth="1"/>
    <col min="38" max="38" width="15.83203125" style="160" customWidth="1"/>
    <col min="39" max="39" width="16.1640625" style="160" customWidth="1"/>
    <col min="40" max="40" width="16.1640625" style="161" customWidth="1"/>
    <col min="41" max="41" width="15" style="161" customWidth="1"/>
    <col min="42" max="42" width="16.83203125" style="149" customWidth="1"/>
    <col min="43" max="44" width="23.5" style="150" bestFit="1" customWidth="1"/>
    <col min="45" max="46" width="10.83203125" style="150"/>
    <col min="47" max="47" width="10.1640625" style="150" bestFit="1" customWidth="1"/>
    <col min="48" max="49" width="10.83203125" style="150"/>
    <col min="50" max="50" width="11.1640625" style="150" bestFit="1" customWidth="1"/>
    <col min="51" max="51" width="11.1640625" style="150" customWidth="1"/>
    <col min="52" max="52" width="15.33203125" style="150" bestFit="1" customWidth="1"/>
    <col min="53" max="55" width="15.33203125" style="151" customWidth="1"/>
    <col min="56" max="56" width="14.5" style="151" bestFit="1" customWidth="1"/>
    <col min="57" max="58" width="15.33203125" style="151" customWidth="1"/>
    <col min="59" max="59" width="14.5" style="151" bestFit="1" customWidth="1"/>
    <col min="60" max="60" width="15.33203125" style="151" customWidth="1"/>
    <col min="61" max="61" width="14.5" style="151" bestFit="1" customWidth="1"/>
    <col min="62" max="62" width="15.33203125" style="151" customWidth="1"/>
    <col min="63" max="63" width="14.5" style="151" bestFit="1" customWidth="1"/>
    <col min="64" max="64" width="25.33203125" style="152" bestFit="1" customWidth="1"/>
    <col min="65" max="65" width="20" style="153" bestFit="1" customWidth="1"/>
    <col min="66" max="66" width="20" style="153" customWidth="1"/>
    <col min="67" max="67" width="23" style="153" bestFit="1" customWidth="1"/>
    <col min="68" max="68" width="18.33203125" style="162" bestFit="1" customWidth="1"/>
  </cols>
  <sheetData>
    <row r="1" spans="1:68" s="141" customFormat="1" ht="21" x14ac:dyDescent="0.3">
      <c r="A1" s="184" t="s">
        <v>1344</v>
      </c>
      <c r="B1" s="185"/>
      <c r="C1" s="185"/>
      <c r="D1" s="185"/>
      <c r="E1" s="186"/>
      <c r="F1" s="187"/>
      <c r="G1" s="188" t="s">
        <v>1345</v>
      </c>
      <c r="H1" s="189"/>
      <c r="I1" s="189"/>
      <c r="J1" s="189"/>
      <c r="K1" s="189"/>
      <c r="L1" s="189"/>
      <c r="M1" s="189"/>
      <c r="N1" s="189"/>
      <c r="O1" s="190"/>
      <c r="P1" s="191" t="s">
        <v>1346</v>
      </c>
      <c r="Q1" s="192"/>
      <c r="R1" s="192"/>
      <c r="S1" s="192"/>
      <c r="T1" s="193"/>
      <c r="U1" s="193"/>
      <c r="V1" s="193"/>
      <c r="W1" s="193"/>
      <c r="X1" s="193"/>
      <c r="Y1" s="193"/>
      <c r="Z1" s="193"/>
      <c r="AA1" s="193"/>
      <c r="AB1" s="194"/>
      <c r="AC1" s="195" t="s">
        <v>1347</v>
      </c>
      <c r="AD1" s="196"/>
      <c r="AE1" s="196"/>
      <c r="AF1" s="197" t="s">
        <v>1348</v>
      </c>
      <c r="AG1" s="198"/>
      <c r="AH1" s="205" t="s">
        <v>1349</v>
      </c>
      <c r="AI1" s="206"/>
      <c r="AJ1" s="206"/>
      <c r="AK1" s="206"/>
      <c r="AL1" s="206"/>
      <c r="AM1" s="206"/>
      <c r="AN1" s="207"/>
      <c r="AO1" s="208"/>
      <c r="AP1" s="199" t="s">
        <v>1350</v>
      </c>
      <c r="AQ1" s="200"/>
      <c r="AR1" s="200"/>
      <c r="AS1" s="200"/>
      <c r="AT1" s="200"/>
      <c r="AU1" s="200"/>
      <c r="AV1" s="200"/>
      <c r="AW1" s="200"/>
      <c r="AX1" s="200"/>
      <c r="AY1" s="200"/>
      <c r="AZ1" s="200"/>
      <c r="BA1" s="200"/>
      <c r="BB1" s="200"/>
      <c r="BC1" s="200"/>
      <c r="BD1" s="200"/>
      <c r="BE1" s="200"/>
      <c r="BF1" s="200"/>
      <c r="BG1" s="200"/>
      <c r="BH1" s="200"/>
      <c r="BI1" s="200"/>
      <c r="BJ1" s="200"/>
      <c r="BK1" s="200"/>
      <c r="BL1" s="201" t="s">
        <v>1351</v>
      </c>
      <c r="BM1" s="202"/>
      <c r="BN1" s="202"/>
      <c r="BO1" s="202"/>
      <c r="BP1" s="203"/>
    </row>
    <row r="2" spans="1:68" s="165" customFormat="1" ht="19" customHeight="1" x14ac:dyDescent="0.2">
      <c r="A2" s="215" t="s">
        <v>1352</v>
      </c>
      <c r="B2" s="216" t="s">
        <v>1353</v>
      </c>
      <c r="C2" s="216" t="s">
        <v>1354</v>
      </c>
      <c r="D2" s="218" t="s">
        <v>1355</v>
      </c>
      <c r="E2" s="219"/>
      <c r="F2" s="220" t="s">
        <v>1548</v>
      </c>
      <c r="G2" s="217" t="s">
        <v>1356</v>
      </c>
      <c r="H2" s="204" t="s">
        <v>1357</v>
      </c>
      <c r="I2" s="204" t="s">
        <v>1358</v>
      </c>
      <c r="J2" s="204" t="s">
        <v>1359</v>
      </c>
      <c r="K2" s="204" t="s">
        <v>1360</v>
      </c>
      <c r="L2" s="204" t="s">
        <v>1361</v>
      </c>
      <c r="M2" s="204" t="s">
        <v>1494</v>
      </c>
      <c r="N2" s="204" t="s">
        <v>1362</v>
      </c>
      <c r="O2" s="211" t="s">
        <v>1363</v>
      </c>
      <c r="P2" s="212" t="s">
        <v>1364</v>
      </c>
      <c r="Q2" s="209" t="s">
        <v>1365</v>
      </c>
      <c r="R2" s="209" t="s">
        <v>1366</v>
      </c>
      <c r="S2" s="209" t="s">
        <v>1367</v>
      </c>
      <c r="T2" s="210" t="s">
        <v>1368</v>
      </c>
      <c r="U2" s="210" t="s">
        <v>1490</v>
      </c>
      <c r="V2" s="222"/>
      <c r="W2" s="222"/>
      <c r="X2" s="222"/>
      <c r="Y2" s="222"/>
      <c r="Z2" s="222"/>
      <c r="AA2" s="222"/>
      <c r="AB2" s="223"/>
      <c r="AC2" s="238" t="s">
        <v>1369</v>
      </c>
      <c r="AD2" s="236" t="s">
        <v>1370</v>
      </c>
      <c r="AE2" s="236" t="s">
        <v>1497</v>
      </c>
      <c r="AF2" s="230" t="s">
        <v>1371</v>
      </c>
      <c r="AG2" s="232" t="s">
        <v>1372</v>
      </c>
      <c r="AH2" s="234" t="s">
        <v>1373</v>
      </c>
      <c r="AI2" s="226" t="s">
        <v>1374</v>
      </c>
      <c r="AJ2" s="226" t="s">
        <v>1375</v>
      </c>
      <c r="AK2" s="226" t="s">
        <v>1376</v>
      </c>
      <c r="AL2" s="226" t="s">
        <v>1579</v>
      </c>
      <c r="AM2" s="226" t="s">
        <v>1377</v>
      </c>
      <c r="AN2" s="226" t="s">
        <v>1559</v>
      </c>
      <c r="AO2" s="228" t="s">
        <v>1378</v>
      </c>
      <c r="AP2" s="224" t="s">
        <v>1379</v>
      </c>
      <c r="AQ2" s="242" t="s">
        <v>1500</v>
      </c>
      <c r="AR2" s="242" t="s">
        <v>1502</v>
      </c>
      <c r="AS2" s="244" t="s">
        <v>1524</v>
      </c>
      <c r="AT2" s="245"/>
      <c r="AU2" s="246"/>
      <c r="AV2" s="211" t="s">
        <v>1380</v>
      </c>
      <c r="AW2" s="245"/>
      <c r="AX2" s="246"/>
      <c r="AY2" s="211" t="s">
        <v>1381</v>
      </c>
      <c r="AZ2" s="246"/>
      <c r="BA2" s="211" t="s">
        <v>1510</v>
      </c>
      <c r="BB2" s="246"/>
      <c r="BC2" s="211" t="s">
        <v>1518</v>
      </c>
      <c r="BD2" s="250"/>
      <c r="BE2" s="249" t="s">
        <v>1382</v>
      </c>
      <c r="BF2" s="245"/>
      <c r="BG2" s="250"/>
      <c r="BH2" s="249" t="s">
        <v>1520</v>
      </c>
      <c r="BI2" s="250"/>
      <c r="BJ2" s="249" t="s">
        <v>1522</v>
      </c>
      <c r="BK2" s="250"/>
      <c r="BL2" s="213" t="s">
        <v>1383</v>
      </c>
      <c r="BM2" s="247" t="s">
        <v>1384</v>
      </c>
      <c r="BN2" s="247" t="s">
        <v>1504</v>
      </c>
      <c r="BO2" s="247" t="s">
        <v>1385</v>
      </c>
      <c r="BP2" s="240" t="s">
        <v>1386</v>
      </c>
    </row>
    <row r="3" spans="1:68" s="165" customFormat="1" ht="19" customHeight="1" x14ac:dyDescent="0.2">
      <c r="A3" s="215"/>
      <c r="B3" s="216"/>
      <c r="C3" s="216"/>
      <c r="D3" s="142" t="s">
        <v>1387</v>
      </c>
      <c r="E3" s="164" t="s">
        <v>1388</v>
      </c>
      <c r="F3" s="221"/>
      <c r="G3" s="217"/>
      <c r="H3" s="204"/>
      <c r="I3" s="204"/>
      <c r="J3" s="204"/>
      <c r="K3" s="204"/>
      <c r="L3" s="204"/>
      <c r="M3" s="204"/>
      <c r="N3" s="204"/>
      <c r="O3" s="211"/>
      <c r="P3" s="212"/>
      <c r="Q3" s="209"/>
      <c r="R3" s="209"/>
      <c r="S3" s="209"/>
      <c r="T3" s="210"/>
      <c r="U3" s="145" t="s">
        <v>1485</v>
      </c>
      <c r="V3" s="145" t="s">
        <v>1489</v>
      </c>
      <c r="W3" s="145" t="s">
        <v>1487</v>
      </c>
      <c r="X3" s="145" t="s">
        <v>1488</v>
      </c>
      <c r="Y3" s="145" t="s">
        <v>1556</v>
      </c>
      <c r="Z3" s="145" t="s">
        <v>1558</v>
      </c>
      <c r="AA3" s="145" t="s">
        <v>1491</v>
      </c>
      <c r="AB3" s="145" t="s">
        <v>1622</v>
      </c>
      <c r="AC3" s="239"/>
      <c r="AD3" s="237"/>
      <c r="AE3" s="237"/>
      <c r="AF3" s="231"/>
      <c r="AG3" s="233"/>
      <c r="AH3" s="235"/>
      <c r="AI3" s="227"/>
      <c r="AJ3" s="227"/>
      <c r="AK3" s="227"/>
      <c r="AL3" s="227"/>
      <c r="AM3" s="227"/>
      <c r="AN3" s="227"/>
      <c r="AO3" s="229"/>
      <c r="AP3" s="225"/>
      <c r="AQ3" s="243"/>
      <c r="AR3" s="243"/>
      <c r="AS3" s="143" t="s">
        <v>1389</v>
      </c>
      <c r="AT3" s="143" t="s">
        <v>1391</v>
      </c>
      <c r="AU3" s="143" t="s">
        <v>1390</v>
      </c>
      <c r="AV3" s="143" t="s">
        <v>1389</v>
      </c>
      <c r="AW3" s="143" t="s">
        <v>1392</v>
      </c>
      <c r="AX3" s="143" t="s">
        <v>1393</v>
      </c>
      <c r="AY3" s="143" t="s">
        <v>1389</v>
      </c>
      <c r="AZ3" s="143" t="s">
        <v>1394</v>
      </c>
      <c r="BA3" s="143" t="s">
        <v>1389</v>
      </c>
      <c r="BB3" s="144" t="s">
        <v>1509</v>
      </c>
      <c r="BC3" s="143" t="s">
        <v>1389</v>
      </c>
      <c r="BD3" s="144" t="s">
        <v>1519</v>
      </c>
      <c r="BE3" s="143" t="s">
        <v>1389</v>
      </c>
      <c r="BF3" s="144" t="s">
        <v>1523</v>
      </c>
      <c r="BG3" s="144" t="s">
        <v>1395</v>
      </c>
      <c r="BH3" s="143" t="s">
        <v>1389</v>
      </c>
      <c r="BI3" s="144" t="s">
        <v>1525</v>
      </c>
      <c r="BJ3" s="143" t="s">
        <v>1389</v>
      </c>
      <c r="BK3" s="144" t="s">
        <v>1521</v>
      </c>
      <c r="BL3" s="214"/>
      <c r="BM3" s="248"/>
      <c r="BN3" s="248"/>
      <c r="BO3" s="248"/>
      <c r="BP3" s="241"/>
    </row>
    <row r="4" spans="1:68" x14ac:dyDescent="0.2">
      <c r="A4" s="146" t="s">
        <v>1396</v>
      </c>
      <c r="B4" s="147" t="str">
        <f>Elevage!L2</f>
        <v>SAINT JOSEPH</v>
      </c>
      <c r="C4" s="163">
        <f>Elevage!B2</f>
        <v>46092</v>
      </c>
      <c r="D4" s="147">
        <v>0</v>
      </c>
      <c r="E4" s="148">
        <v>0</v>
      </c>
      <c r="G4" s="149">
        <v>2</v>
      </c>
      <c r="H4" s="150" t="s">
        <v>1493</v>
      </c>
      <c r="I4" s="150" t="s">
        <v>35</v>
      </c>
      <c r="J4" s="150">
        <v>700</v>
      </c>
      <c r="K4" s="150">
        <v>50</v>
      </c>
      <c r="L4" s="150">
        <v>2</v>
      </c>
      <c r="M4" s="150">
        <v>7</v>
      </c>
      <c r="N4" s="150">
        <v>1995</v>
      </c>
      <c r="O4" s="151">
        <f>2026-N4</f>
        <v>31</v>
      </c>
      <c r="P4" s="152">
        <v>0</v>
      </c>
      <c r="Q4" s="153" t="s">
        <v>1492</v>
      </c>
      <c r="R4" s="153">
        <v>0</v>
      </c>
      <c r="S4" s="153">
        <v>1</v>
      </c>
      <c r="T4" s="154" t="s">
        <v>1485</v>
      </c>
      <c r="U4" s="154">
        <v>1</v>
      </c>
      <c r="V4" s="154">
        <v>0</v>
      </c>
      <c r="W4" s="154">
        <v>1</v>
      </c>
      <c r="X4" s="154">
        <v>0</v>
      </c>
      <c r="Y4" s="154">
        <v>0</v>
      </c>
      <c r="Z4" s="154">
        <v>0</v>
      </c>
      <c r="AA4" s="154">
        <v>0</v>
      </c>
      <c r="AB4" s="154">
        <v>0</v>
      </c>
      <c r="AC4" s="155" t="s">
        <v>1495</v>
      </c>
      <c r="AD4" s="156" t="s">
        <v>1496</v>
      </c>
      <c r="AE4" s="156">
        <v>45</v>
      </c>
      <c r="AF4" s="157">
        <v>1</v>
      </c>
      <c r="AG4" s="158" t="s">
        <v>1498</v>
      </c>
      <c r="AH4" s="159" t="s">
        <v>1499</v>
      </c>
      <c r="AI4" s="160">
        <v>0</v>
      </c>
      <c r="AJ4" s="160">
        <v>1</v>
      </c>
      <c r="AK4" s="160">
        <v>0</v>
      </c>
      <c r="AL4" s="160">
        <v>0</v>
      </c>
      <c r="AM4" s="160">
        <v>0</v>
      </c>
      <c r="AN4" s="161">
        <v>0</v>
      </c>
      <c r="AO4" s="161">
        <v>0</v>
      </c>
      <c r="AP4" s="149" t="s">
        <v>1501</v>
      </c>
      <c r="AQ4" s="167" t="s">
        <v>1545</v>
      </c>
      <c r="AR4" s="150" t="s">
        <v>1503</v>
      </c>
      <c r="AS4" s="150">
        <f>IF(OR(AT4=1,AU4=1),1,0)</f>
        <v>1</v>
      </c>
      <c r="AT4" s="150">
        <v>1</v>
      </c>
      <c r="AU4" s="150">
        <v>0</v>
      </c>
      <c r="AV4" s="150">
        <f>IF(OR(AW4=1,AX4),1,0)</f>
        <v>1</v>
      </c>
      <c r="AW4" s="150">
        <v>1</v>
      </c>
      <c r="AX4" s="150">
        <v>0</v>
      </c>
      <c r="AY4" s="150">
        <f>IF(OR(AZ4=1),1,0)</f>
        <v>0</v>
      </c>
      <c r="AZ4" s="150">
        <v>0</v>
      </c>
      <c r="BA4" s="150">
        <f>IF(OR(BB4=1),1,0)</f>
        <v>0</v>
      </c>
      <c r="BB4" s="151">
        <v>0</v>
      </c>
      <c r="BC4" s="150">
        <f>IF(OR(BD4=1),1,0)</f>
        <v>0</v>
      </c>
      <c r="BD4" s="151">
        <v>0</v>
      </c>
      <c r="BE4" s="150">
        <f>IF(OR(BG4=1,BF4),1,0)</f>
        <v>0</v>
      </c>
      <c r="BF4" s="151">
        <v>0</v>
      </c>
      <c r="BG4" s="151">
        <v>0</v>
      </c>
      <c r="BH4" s="150">
        <f>IF(OR(BI4=1),1,0)</f>
        <v>0</v>
      </c>
      <c r="BI4" s="151">
        <v>0</v>
      </c>
      <c r="BJ4" s="150">
        <f>IF(OR(BK4=1),1,0)</f>
        <v>0</v>
      </c>
      <c r="BK4" s="151">
        <v>0</v>
      </c>
      <c r="BL4" s="152">
        <v>1</v>
      </c>
      <c r="BM4" s="153" t="s">
        <v>1616</v>
      </c>
      <c r="BN4" s="153">
        <v>1</v>
      </c>
      <c r="BO4" s="153">
        <v>1</v>
      </c>
      <c r="BP4" s="162" t="s">
        <v>1625</v>
      </c>
    </row>
    <row r="5" spans="1:68" ht="19" x14ac:dyDescent="0.2">
      <c r="A5" s="146" t="s">
        <v>1397</v>
      </c>
      <c r="B5" s="147" t="str">
        <f>Elevage!L3</f>
        <v>SAINT JOSEPH</v>
      </c>
      <c r="C5" s="163">
        <f>Elevage!B3</f>
        <v>46092</v>
      </c>
      <c r="D5" s="147">
        <v>0</v>
      </c>
      <c r="E5" s="148">
        <v>0</v>
      </c>
      <c r="G5" s="149">
        <v>1</v>
      </c>
      <c r="H5" s="150" t="s">
        <v>1505</v>
      </c>
      <c r="I5" s="150" t="s">
        <v>35</v>
      </c>
      <c r="J5" s="150">
        <v>400</v>
      </c>
      <c r="K5" s="150">
        <v>32</v>
      </c>
      <c r="L5" s="150">
        <v>2</v>
      </c>
      <c r="M5" s="150">
        <v>3</v>
      </c>
      <c r="N5" s="150">
        <v>1997</v>
      </c>
      <c r="O5" s="151">
        <f t="shared" ref="O5:O68" si="0">2026-N5</f>
        <v>29</v>
      </c>
      <c r="P5" s="152">
        <v>0</v>
      </c>
      <c r="Q5" s="153" t="s">
        <v>1492</v>
      </c>
      <c r="R5" s="153">
        <v>1</v>
      </c>
      <c r="S5" s="153">
        <v>1</v>
      </c>
      <c r="T5" s="154" t="s">
        <v>1506</v>
      </c>
      <c r="U5" s="154">
        <v>0</v>
      </c>
      <c r="V5" s="154">
        <v>0</v>
      </c>
      <c r="W5" s="154">
        <v>0</v>
      </c>
      <c r="X5" s="154">
        <v>0</v>
      </c>
      <c r="Y5" s="154">
        <v>0</v>
      </c>
      <c r="Z5" s="154">
        <v>0</v>
      </c>
      <c r="AA5" s="154">
        <v>0</v>
      </c>
      <c r="AB5" s="154">
        <v>0</v>
      </c>
      <c r="AC5" s="155" t="s">
        <v>1496</v>
      </c>
      <c r="AD5" s="156" t="s">
        <v>1496</v>
      </c>
      <c r="AE5" s="156">
        <v>40</v>
      </c>
      <c r="AF5" s="157">
        <v>1</v>
      </c>
      <c r="AG5" s="158" t="s">
        <v>1507</v>
      </c>
      <c r="AH5" s="159" t="s">
        <v>1508</v>
      </c>
      <c r="AI5" s="160">
        <v>1</v>
      </c>
      <c r="AJ5" s="160">
        <v>1</v>
      </c>
      <c r="AK5" s="160">
        <v>0</v>
      </c>
      <c r="AL5" s="160">
        <v>0</v>
      </c>
      <c r="AM5" s="160">
        <v>0</v>
      </c>
      <c r="AN5" s="161">
        <v>0</v>
      </c>
      <c r="AO5" s="161">
        <v>0</v>
      </c>
      <c r="AP5" s="149" t="s">
        <v>1501</v>
      </c>
      <c r="AQ5" s="167" t="s">
        <v>1546</v>
      </c>
      <c r="AR5" s="150" t="s">
        <v>1503</v>
      </c>
      <c r="AS5" s="150">
        <f t="shared" ref="AS5:AS68" si="1">IF(OR(AT5=1,AU5=1),1,0)</f>
        <v>1</v>
      </c>
      <c r="AT5" s="166">
        <v>1</v>
      </c>
      <c r="AU5" s="150">
        <v>0</v>
      </c>
      <c r="AV5" s="150">
        <f t="shared" ref="AV5:AV68" si="2">IF(OR(AW5=1,AX5),1,0)</f>
        <v>0</v>
      </c>
      <c r="AW5" s="150">
        <v>0</v>
      </c>
      <c r="AX5" s="150">
        <v>0</v>
      </c>
      <c r="AY5" s="150">
        <f t="shared" ref="AY5:AY68" si="3">IF(OR(AZ5=1),1,0)</f>
        <v>0</v>
      </c>
      <c r="AZ5" s="150">
        <v>0</v>
      </c>
      <c r="BA5" s="150">
        <f t="shared" ref="BA5:BA68" si="4">IF(OR(BB5=1),1,0)</f>
        <v>1</v>
      </c>
      <c r="BB5" s="151">
        <v>1</v>
      </c>
      <c r="BC5" s="150">
        <f t="shared" ref="BC5:BC68" si="5">IF(OR(BD5=1),1,0)</f>
        <v>0</v>
      </c>
      <c r="BD5" s="151">
        <v>0</v>
      </c>
      <c r="BE5" s="150">
        <f t="shared" ref="BE5:BE68" si="6">IF(OR(BG5=1,BF5),1,0)</f>
        <v>1</v>
      </c>
      <c r="BF5" s="151">
        <v>0</v>
      </c>
      <c r="BG5" s="150">
        <v>1</v>
      </c>
      <c r="BH5" s="150">
        <f t="shared" ref="BH5" si="7">IF(OR(BI5=1),1,0)</f>
        <v>0</v>
      </c>
      <c r="BI5" s="151">
        <v>0</v>
      </c>
      <c r="BJ5" s="150">
        <f t="shared" ref="BJ5" si="8">IF(OR(BK5=1),1,0)</f>
        <v>0</v>
      </c>
      <c r="BK5" s="151">
        <v>0</v>
      </c>
      <c r="BL5" s="152">
        <v>1</v>
      </c>
      <c r="BM5" s="153" t="s">
        <v>1511</v>
      </c>
      <c r="BN5" s="153">
        <v>0</v>
      </c>
      <c r="BO5" s="153">
        <v>1</v>
      </c>
      <c r="BP5" s="162" t="s">
        <v>1512</v>
      </c>
    </row>
    <row r="6" spans="1:68" x14ac:dyDescent="0.2">
      <c r="A6" s="146" t="s">
        <v>1398</v>
      </c>
      <c r="B6" s="147" t="str">
        <f>Elevage!L4</f>
        <v>SAINT PIERRE / PETITE ILE</v>
      </c>
      <c r="C6" s="163">
        <f>Elevage!B4</f>
        <v>46094</v>
      </c>
      <c r="D6" s="147">
        <v>0</v>
      </c>
      <c r="E6" s="148">
        <v>0</v>
      </c>
      <c r="G6" s="149">
        <v>2</v>
      </c>
      <c r="H6" s="150" t="s">
        <v>1513</v>
      </c>
      <c r="I6" s="150" t="s">
        <v>35</v>
      </c>
      <c r="J6" s="150">
        <v>400</v>
      </c>
      <c r="K6" s="150">
        <v>38</v>
      </c>
      <c r="L6" s="150">
        <v>2</v>
      </c>
      <c r="M6" s="150">
        <v>7</v>
      </c>
      <c r="N6" s="150">
        <v>1993</v>
      </c>
      <c r="O6" s="151">
        <f t="shared" si="0"/>
        <v>33</v>
      </c>
      <c r="P6" s="152">
        <v>0</v>
      </c>
      <c r="Q6" s="153" t="s">
        <v>1492</v>
      </c>
      <c r="R6" s="153">
        <v>0</v>
      </c>
      <c r="S6" s="153">
        <v>0</v>
      </c>
      <c r="T6" s="154" t="s">
        <v>1492</v>
      </c>
      <c r="U6" s="154">
        <v>0</v>
      </c>
      <c r="V6" s="154">
        <v>1</v>
      </c>
      <c r="W6" s="154">
        <v>1</v>
      </c>
      <c r="X6" s="154">
        <v>1</v>
      </c>
      <c r="Y6" s="154">
        <v>0</v>
      </c>
      <c r="Z6" s="154">
        <v>0</v>
      </c>
      <c r="AA6" s="154">
        <v>0</v>
      </c>
      <c r="AB6" s="154">
        <v>0</v>
      </c>
      <c r="AC6" s="155" t="s">
        <v>1514</v>
      </c>
      <c r="AD6" s="156" t="s">
        <v>1496</v>
      </c>
      <c r="AE6" s="156">
        <v>45</v>
      </c>
      <c r="AF6" s="157">
        <v>1</v>
      </c>
      <c r="AG6" s="158" t="s">
        <v>1515</v>
      </c>
      <c r="AH6" s="159" t="s">
        <v>1508</v>
      </c>
      <c r="AI6" s="161">
        <v>1</v>
      </c>
      <c r="AJ6" s="161">
        <v>1</v>
      </c>
      <c r="AK6" s="161">
        <v>1</v>
      </c>
      <c r="AL6" s="161">
        <v>0</v>
      </c>
      <c r="AM6" s="161">
        <v>0</v>
      </c>
      <c r="AN6" s="161">
        <v>0</v>
      </c>
      <c r="AO6" s="161">
        <v>0</v>
      </c>
      <c r="AP6" s="149" t="s">
        <v>1501</v>
      </c>
      <c r="AQ6" s="167" t="s">
        <v>1546</v>
      </c>
      <c r="AR6" s="150" t="s">
        <v>1503</v>
      </c>
      <c r="AS6" s="150">
        <f t="shared" si="1"/>
        <v>1</v>
      </c>
      <c r="AT6" s="150">
        <v>1</v>
      </c>
      <c r="AU6" s="150">
        <v>0</v>
      </c>
      <c r="AV6" s="150">
        <f t="shared" si="2"/>
        <v>0</v>
      </c>
      <c r="AW6" s="150">
        <v>0</v>
      </c>
      <c r="AX6" s="150">
        <v>0</v>
      </c>
      <c r="AY6" s="150">
        <f t="shared" si="3"/>
        <v>1</v>
      </c>
      <c r="AZ6" s="150">
        <v>1</v>
      </c>
      <c r="BA6" s="150">
        <f t="shared" si="4"/>
        <v>0</v>
      </c>
      <c r="BB6" s="150">
        <v>0</v>
      </c>
      <c r="BC6" s="150">
        <f t="shared" si="5"/>
        <v>0</v>
      </c>
      <c r="BD6" s="151">
        <v>0</v>
      </c>
      <c r="BE6" s="150">
        <f t="shared" si="6"/>
        <v>1</v>
      </c>
      <c r="BF6" s="151">
        <v>0</v>
      </c>
      <c r="BG6" s="150">
        <v>1</v>
      </c>
      <c r="BH6" s="150">
        <f t="shared" ref="BH6" si="9">IF(OR(BI6=1),1,0)</f>
        <v>0</v>
      </c>
      <c r="BI6" s="151">
        <v>0</v>
      </c>
      <c r="BJ6" s="150">
        <f t="shared" ref="BJ6" si="10">IF(OR(BK6=1),1,0)</f>
        <v>0</v>
      </c>
      <c r="BK6" s="151">
        <v>0</v>
      </c>
      <c r="BL6" s="152">
        <v>1</v>
      </c>
      <c r="BM6" s="153" t="s">
        <v>1511</v>
      </c>
      <c r="BN6" s="153">
        <v>1</v>
      </c>
      <c r="BP6" s="162" t="s">
        <v>1512</v>
      </c>
    </row>
    <row r="7" spans="1:68" x14ac:dyDescent="0.2">
      <c r="A7" s="146" t="s">
        <v>1399</v>
      </c>
      <c r="B7" s="147" t="str">
        <f>Elevage!L5</f>
        <v>SAINT PIERRE / PETITE ILE</v>
      </c>
      <c r="C7" s="163">
        <f>Elevage!B5</f>
        <v>46099</v>
      </c>
      <c r="D7" s="147">
        <v>1</v>
      </c>
      <c r="E7" s="148">
        <v>0</v>
      </c>
      <c r="G7" s="149">
        <v>1</v>
      </c>
      <c r="H7" s="150" t="s">
        <v>1493</v>
      </c>
      <c r="I7" s="150" t="s">
        <v>35</v>
      </c>
      <c r="J7" s="150">
        <v>440</v>
      </c>
      <c r="K7" s="150">
        <v>32</v>
      </c>
      <c r="L7" s="150">
        <v>1</v>
      </c>
      <c r="M7" s="150">
        <v>5</v>
      </c>
      <c r="N7" s="150">
        <v>2024</v>
      </c>
      <c r="O7" s="151">
        <f t="shared" si="0"/>
        <v>2</v>
      </c>
      <c r="P7" s="152">
        <v>0</v>
      </c>
      <c r="Q7" s="153" t="s">
        <v>1492</v>
      </c>
      <c r="R7" s="153">
        <v>1</v>
      </c>
      <c r="S7" s="153">
        <v>1</v>
      </c>
      <c r="T7" s="154" t="s">
        <v>1516</v>
      </c>
      <c r="U7" s="154">
        <v>0</v>
      </c>
      <c r="V7" s="154">
        <v>0</v>
      </c>
      <c r="W7" s="154">
        <v>0</v>
      </c>
      <c r="X7" s="154">
        <v>0</v>
      </c>
      <c r="Y7" s="154">
        <v>0</v>
      </c>
      <c r="Z7" s="154">
        <v>0</v>
      </c>
      <c r="AA7" s="154">
        <v>0</v>
      </c>
      <c r="AB7" s="154">
        <v>0</v>
      </c>
      <c r="AC7" s="155" t="s">
        <v>1496</v>
      </c>
      <c r="AD7" s="156" t="s">
        <v>1496</v>
      </c>
      <c r="AE7" s="156">
        <v>45</v>
      </c>
      <c r="AF7" s="157">
        <v>1</v>
      </c>
      <c r="AG7" s="158" t="s">
        <v>1517</v>
      </c>
      <c r="AH7" s="159" t="s">
        <v>1499</v>
      </c>
      <c r="AI7" s="161">
        <v>0</v>
      </c>
      <c r="AJ7" s="161">
        <v>0</v>
      </c>
      <c r="AK7" s="161">
        <v>0</v>
      </c>
      <c r="AL7" s="161">
        <v>0</v>
      </c>
      <c r="AM7" s="161">
        <v>0</v>
      </c>
      <c r="AN7" s="161">
        <v>0</v>
      </c>
      <c r="AO7" s="161">
        <v>0</v>
      </c>
      <c r="AP7" s="149" t="s">
        <v>1513</v>
      </c>
      <c r="AQ7" s="167" t="s">
        <v>1545</v>
      </c>
      <c r="AR7" s="150" t="s">
        <v>1503</v>
      </c>
      <c r="AS7" s="150">
        <f t="shared" si="1"/>
        <v>1</v>
      </c>
      <c r="AT7" s="150">
        <v>1</v>
      </c>
      <c r="AU7" s="150">
        <v>0</v>
      </c>
      <c r="AV7" s="150">
        <f t="shared" si="2"/>
        <v>1</v>
      </c>
      <c r="AW7" s="150">
        <v>0</v>
      </c>
      <c r="AX7" s="150">
        <v>1</v>
      </c>
      <c r="AY7" s="150">
        <f t="shared" si="3"/>
        <v>0</v>
      </c>
      <c r="AZ7" s="150">
        <v>0</v>
      </c>
      <c r="BA7" s="150">
        <f t="shared" si="4"/>
        <v>0</v>
      </c>
      <c r="BB7" s="150">
        <v>0</v>
      </c>
      <c r="BC7" s="150">
        <f t="shared" si="5"/>
        <v>1</v>
      </c>
      <c r="BD7" s="151">
        <v>1</v>
      </c>
      <c r="BE7" s="150">
        <f t="shared" si="6"/>
        <v>0</v>
      </c>
      <c r="BF7" s="151">
        <v>0</v>
      </c>
      <c r="BG7" s="150">
        <v>0</v>
      </c>
      <c r="BH7" s="150">
        <f t="shared" ref="BH7" si="11">IF(OR(BI7=1),1,0)</f>
        <v>0</v>
      </c>
      <c r="BI7" s="151">
        <v>0</v>
      </c>
      <c r="BJ7" s="150">
        <f t="shared" ref="BJ7" si="12">IF(OR(BK7=1),1,0)</f>
        <v>0</v>
      </c>
      <c r="BK7" s="151">
        <v>0</v>
      </c>
      <c r="BL7" s="152">
        <v>1</v>
      </c>
      <c r="BM7" s="153" t="s">
        <v>1617</v>
      </c>
      <c r="BN7" s="153">
        <v>1</v>
      </c>
      <c r="BO7" s="153">
        <v>1</v>
      </c>
      <c r="BP7" s="162" t="s">
        <v>1526</v>
      </c>
    </row>
    <row r="8" spans="1:68" x14ac:dyDescent="0.2">
      <c r="A8" s="146" t="s">
        <v>1400</v>
      </c>
      <c r="B8" s="147" t="str">
        <f>Elevage!L6</f>
        <v>ETANG SALE/SAINT LOUIS</v>
      </c>
      <c r="C8" s="163">
        <f>Elevage!B6</f>
        <v>46106</v>
      </c>
      <c r="D8" s="147">
        <v>0</v>
      </c>
      <c r="E8" s="148">
        <v>0</v>
      </c>
      <c r="F8" s="148">
        <v>26</v>
      </c>
      <c r="G8" s="149">
        <v>1</v>
      </c>
      <c r="H8" s="150" t="s">
        <v>1513</v>
      </c>
      <c r="I8" s="150" t="s">
        <v>35</v>
      </c>
      <c r="J8" s="150">
        <v>425</v>
      </c>
      <c r="K8" s="150">
        <v>38</v>
      </c>
      <c r="L8" s="150">
        <v>1</v>
      </c>
      <c r="M8" s="150">
        <v>6</v>
      </c>
      <c r="N8" s="150">
        <v>1990</v>
      </c>
      <c r="O8" s="151">
        <f t="shared" si="0"/>
        <v>36</v>
      </c>
      <c r="P8" s="152">
        <v>0</v>
      </c>
      <c r="Q8" s="153" t="s">
        <v>1492</v>
      </c>
      <c r="R8" s="153">
        <v>0</v>
      </c>
      <c r="S8" s="153">
        <v>1</v>
      </c>
      <c r="T8" s="154" t="s">
        <v>1486</v>
      </c>
      <c r="U8" s="154">
        <v>0</v>
      </c>
      <c r="V8" s="154">
        <v>0</v>
      </c>
      <c r="W8" s="154">
        <v>0</v>
      </c>
      <c r="X8" s="154">
        <v>1</v>
      </c>
      <c r="Y8" s="154">
        <v>0</v>
      </c>
      <c r="Z8" s="154">
        <v>0</v>
      </c>
      <c r="AA8" s="154">
        <v>0</v>
      </c>
      <c r="AB8" s="154">
        <v>0</v>
      </c>
      <c r="AC8" s="155" t="s">
        <v>1496</v>
      </c>
      <c r="AD8" s="156" t="s">
        <v>1496</v>
      </c>
      <c r="AE8" s="156">
        <v>40</v>
      </c>
      <c r="AF8" s="157">
        <v>1</v>
      </c>
      <c r="AG8" s="158" t="s">
        <v>1517</v>
      </c>
      <c r="AH8" s="159" t="s">
        <v>1499</v>
      </c>
      <c r="AI8" s="161">
        <v>0</v>
      </c>
      <c r="AJ8" s="161">
        <v>1</v>
      </c>
      <c r="AK8" s="161">
        <v>0</v>
      </c>
      <c r="AL8" s="161">
        <v>0</v>
      </c>
      <c r="AM8" s="161">
        <v>0</v>
      </c>
      <c r="AN8" s="161">
        <v>0</v>
      </c>
      <c r="AO8" s="161">
        <v>0</v>
      </c>
      <c r="AP8" s="149" t="s">
        <v>1513</v>
      </c>
      <c r="AQ8" s="167" t="s">
        <v>1545</v>
      </c>
      <c r="AR8" s="150" t="s">
        <v>1503</v>
      </c>
      <c r="AS8" s="150">
        <f t="shared" si="1"/>
        <v>1</v>
      </c>
      <c r="AT8" s="150">
        <v>1</v>
      </c>
      <c r="AU8" s="150">
        <v>0</v>
      </c>
      <c r="AV8" s="150">
        <f t="shared" si="2"/>
        <v>1</v>
      </c>
      <c r="AW8" s="150">
        <v>0</v>
      </c>
      <c r="AX8" s="150">
        <v>1</v>
      </c>
      <c r="AY8" s="150">
        <f t="shared" si="3"/>
        <v>1</v>
      </c>
      <c r="AZ8" s="150">
        <v>1</v>
      </c>
      <c r="BA8" s="150">
        <f t="shared" si="4"/>
        <v>0</v>
      </c>
      <c r="BB8" s="150">
        <v>0</v>
      </c>
      <c r="BC8" s="150">
        <f t="shared" si="5"/>
        <v>0</v>
      </c>
      <c r="BD8" s="151">
        <v>0</v>
      </c>
      <c r="BE8" s="150">
        <f t="shared" si="6"/>
        <v>0</v>
      </c>
      <c r="BF8" s="151">
        <v>0</v>
      </c>
      <c r="BG8" s="150">
        <v>0</v>
      </c>
      <c r="BH8" s="150">
        <f t="shared" ref="BH8" si="13">IF(OR(BI8=1),1,0)</f>
        <v>0</v>
      </c>
      <c r="BI8" s="151">
        <v>0</v>
      </c>
      <c r="BJ8" s="150">
        <f t="shared" ref="BJ8" si="14">IF(OR(BK8=1),1,0)</f>
        <v>0</v>
      </c>
      <c r="BK8" s="151">
        <v>0</v>
      </c>
      <c r="BL8" s="152">
        <v>1</v>
      </c>
      <c r="BM8" s="153" t="s">
        <v>1532</v>
      </c>
      <c r="BN8" s="153">
        <v>1</v>
      </c>
      <c r="BO8" s="153">
        <v>1</v>
      </c>
      <c r="BP8" s="162" t="s">
        <v>1527</v>
      </c>
    </row>
    <row r="9" spans="1:68" x14ac:dyDescent="0.2">
      <c r="A9" s="146" t="s">
        <v>1401</v>
      </c>
      <c r="B9" s="147" t="str">
        <f>Elevage!L7</f>
        <v>ETANG SALE/SAINT LOUIS</v>
      </c>
      <c r="C9" s="163">
        <f>Elevage!B7</f>
        <v>46106</v>
      </c>
      <c r="D9" s="147">
        <v>1</v>
      </c>
      <c r="E9" s="148">
        <v>0</v>
      </c>
      <c r="F9" s="148">
        <v>23</v>
      </c>
      <c r="G9" s="149">
        <v>1</v>
      </c>
      <c r="H9" s="150" t="s">
        <v>1493</v>
      </c>
      <c r="I9" s="150" t="s">
        <v>35</v>
      </c>
      <c r="J9" s="150">
        <v>200</v>
      </c>
      <c r="K9" s="150">
        <v>16</v>
      </c>
      <c r="L9" s="150">
        <v>1</v>
      </c>
      <c r="M9" s="150">
        <v>4</v>
      </c>
      <c r="N9" s="150">
        <v>1996</v>
      </c>
      <c r="O9" s="151">
        <f t="shared" si="0"/>
        <v>30</v>
      </c>
      <c r="P9" s="152">
        <v>0</v>
      </c>
      <c r="Q9" s="153" t="s">
        <v>1492</v>
      </c>
      <c r="R9" s="153">
        <v>0</v>
      </c>
      <c r="S9" s="153">
        <v>1</v>
      </c>
      <c r="T9" s="154" t="s">
        <v>1485</v>
      </c>
      <c r="U9" s="154">
        <v>1</v>
      </c>
      <c r="V9" s="154">
        <v>0</v>
      </c>
      <c r="W9" s="154">
        <v>0</v>
      </c>
      <c r="X9" s="154">
        <v>1</v>
      </c>
      <c r="Y9" s="154">
        <v>0</v>
      </c>
      <c r="Z9" s="154">
        <v>0</v>
      </c>
      <c r="AA9" s="154">
        <v>0</v>
      </c>
      <c r="AB9" s="154">
        <v>0</v>
      </c>
      <c r="AC9" s="155" t="s">
        <v>1495</v>
      </c>
      <c r="AD9" s="156" t="s">
        <v>1496</v>
      </c>
      <c r="AE9" s="156">
        <v>40</v>
      </c>
      <c r="AF9" s="157">
        <v>1</v>
      </c>
      <c r="AG9" s="158" t="s">
        <v>1528</v>
      </c>
      <c r="AH9" s="159" t="s">
        <v>1499</v>
      </c>
      <c r="AI9" s="161">
        <v>1</v>
      </c>
      <c r="AJ9" s="161">
        <v>1</v>
      </c>
      <c r="AK9" s="161">
        <v>0</v>
      </c>
      <c r="AL9" s="161">
        <v>1</v>
      </c>
      <c r="AM9" s="161">
        <v>0</v>
      </c>
      <c r="AN9" s="161">
        <v>0</v>
      </c>
      <c r="AO9" s="161">
        <v>0</v>
      </c>
      <c r="AP9" s="149" t="s">
        <v>1501</v>
      </c>
      <c r="AQ9" s="167" t="s">
        <v>1545</v>
      </c>
      <c r="AR9" s="150" t="s">
        <v>1503</v>
      </c>
      <c r="AS9" s="150">
        <f t="shared" si="1"/>
        <v>1</v>
      </c>
      <c r="AT9" s="150">
        <v>1</v>
      </c>
      <c r="AU9" s="150">
        <v>0</v>
      </c>
      <c r="AV9" s="150">
        <f t="shared" si="2"/>
        <v>0</v>
      </c>
      <c r="AW9" s="150">
        <v>0</v>
      </c>
      <c r="AX9" s="150">
        <v>0</v>
      </c>
      <c r="AY9" s="150">
        <f t="shared" si="3"/>
        <v>0</v>
      </c>
      <c r="AZ9" s="150">
        <v>0</v>
      </c>
      <c r="BA9" s="150">
        <f t="shared" si="4"/>
        <v>0</v>
      </c>
      <c r="BB9" s="150">
        <v>0</v>
      </c>
      <c r="BC9" s="150">
        <f t="shared" si="5"/>
        <v>0</v>
      </c>
      <c r="BD9" s="151">
        <v>0</v>
      </c>
      <c r="BE9" s="150">
        <f t="shared" si="6"/>
        <v>0</v>
      </c>
      <c r="BF9" s="151">
        <v>0</v>
      </c>
      <c r="BG9" s="150">
        <v>0</v>
      </c>
      <c r="BH9" s="150">
        <f t="shared" ref="BH9" si="15">IF(OR(BI9=1),1,0)</f>
        <v>0</v>
      </c>
      <c r="BI9" s="151">
        <v>0</v>
      </c>
      <c r="BJ9" s="150">
        <f t="shared" ref="BJ9" si="16">IF(OR(BK9=1),1,0)</f>
        <v>0</v>
      </c>
      <c r="BK9" s="151">
        <v>0</v>
      </c>
      <c r="BL9" s="152">
        <v>1</v>
      </c>
      <c r="BM9" s="153" t="s">
        <v>1529</v>
      </c>
      <c r="BN9" s="153">
        <v>0</v>
      </c>
      <c r="BO9" s="153">
        <v>0</v>
      </c>
      <c r="BP9" s="162" t="s">
        <v>1530</v>
      </c>
    </row>
    <row r="10" spans="1:68" x14ac:dyDescent="0.2">
      <c r="A10" s="146" t="s">
        <v>1402</v>
      </c>
      <c r="B10" s="147" t="str">
        <f>Elevage!L8</f>
        <v>AVIRONS/ SAINT LEU</v>
      </c>
      <c r="C10" s="163">
        <f>Elevage!B8</f>
        <v>46111</v>
      </c>
      <c r="D10" s="147">
        <v>0</v>
      </c>
      <c r="E10" s="148">
        <v>0</v>
      </c>
      <c r="G10" s="149">
        <v>1</v>
      </c>
      <c r="H10" s="150" t="s">
        <v>1493</v>
      </c>
      <c r="I10" s="150" t="s">
        <v>35</v>
      </c>
      <c r="J10" s="150">
        <v>600</v>
      </c>
      <c r="K10" s="150">
        <v>45</v>
      </c>
      <c r="L10" s="150">
        <v>1</v>
      </c>
      <c r="M10" s="150">
        <v>4</v>
      </c>
      <c r="N10" s="150">
        <v>1990</v>
      </c>
      <c r="O10" s="151">
        <f t="shared" si="0"/>
        <v>36</v>
      </c>
      <c r="P10" s="152">
        <v>0</v>
      </c>
      <c r="Q10" s="153" t="s">
        <v>1492</v>
      </c>
      <c r="R10" s="153">
        <v>1</v>
      </c>
      <c r="S10" s="153">
        <v>1</v>
      </c>
      <c r="T10" s="154" t="s">
        <v>1487</v>
      </c>
      <c r="U10" s="154">
        <v>0</v>
      </c>
      <c r="V10" s="154">
        <v>0</v>
      </c>
      <c r="W10" s="154">
        <v>0</v>
      </c>
      <c r="X10" s="154">
        <v>0</v>
      </c>
      <c r="Y10" s="154">
        <v>0</v>
      </c>
      <c r="Z10" s="154">
        <v>0</v>
      </c>
      <c r="AA10" s="154">
        <v>0</v>
      </c>
      <c r="AB10" s="154">
        <v>0</v>
      </c>
      <c r="AC10" s="155" t="s">
        <v>1496</v>
      </c>
      <c r="AD10" s="156" t="s">
        <v>1495</v>
      </c>
      <c r="AE10" s="156">
        <v>40</v>
      </c>
      <c r="AF10" s="157">
        <v>1</v>
      </c>
      <c r="AG10" s="158" t="s">
        <v>1507</v>
      </c>
      <c r="AH10" s="159" t="s">
        <v>1499</v>
      </c>
      <c r="AI10" s="161">
        <v>0</v>
      </c>
      <c r="AJ10" s="161">
        <v>1</v>
      </c>
      <c r="AK10" s="161">
        <v>1</v>
      </c>
      <c r="AL10" s="161">
        <v>1</v>
      </c>
      <c r="AM10" s="161">
        <v>0</v>
      </c>
      <c r="AN10" s="161">
        <v>0</v>
      </c>
      <c r="AO10" s="161">
        <v>0</v>
      </c>
      <c r="AP10" s="149" t="s">
        <v>1513</v>
      </c>
      <c r="AR10" s="150" t="s">
        <v>1531</v>
      </c>
      <c r="AS10" s="150">
        <f t="shared" si="1"/>
        <v>1</v>
      </c>
      <c r="AT10" s="150">
        <v>1</v>
      </c>
      <c r="AU10" s="150">
        <v>1</v>
      </c>
      <c r="AV10" s="150">
        <f t="shared" si="2"/>
        <v>1</v>
      </c>
      <c r="AW10" s="150">
        <v>0</v>
      </c>
      <c r="AX10" s="150">
        <v>1</v>
      </c>
      <c r="AY10" s="150">
        <f t="shared" si="3"/>
        <v>1</v>
      </c>
      <c r="AZ10" s="150">
        <v>1</v>
      </c>
      <c r="BA10" s="150">
        <f t="shared" si="4"/>
        <v>0</v>
      </c>
      <c r="BB10" s="150">
        <v>0</v>
      </c>
      <c r="BC10" s="150">
        <f t="shared" si="5"/>
        <v>0</v>
      </c>
      <c r="BD10" s="151">
        <v>0</v>
      </c>
      <c r="BE10" s="150">
        <f t="shared" si="6"/>
        <v>0</v>
      </c>
      <c r="BF10" s="151">
        <v>0</v>
      </c>
      <c r="BG10" s="150">
        <v>0</v>
      </c>
      <c r="BH10" s="150">
        <f t="shared" ref="BH10" si="17">IF(OR(BI10=1),1,0)</f>
        <v>0</v>
      </c>
      <c r="BI10" s="151">
        <v>0</v>
      </c>
      <c r="BJ10" s="150">
        <f t="shared" ref="BJ10" si="18">IF(OR(BK10=1),1,0)</f>
        <v>0</v>
      </c>
      <c r="BK10" s="151">
        <v>0</v>
      </c>
      <c r="BL10" s="152">
        <v>1</v>
      </c>
      <c r="BM10" s="153" t="s">
        <v>1532</v>
      </c>
      <c r="BN10" s="153">
        <v>1</v>
      </c>
      <c r="BO10" s="153">
        <v>1</v>
      </c>
      <c r="BP10" s="162" t="s">
        <v>1533</v>
      </c>
    </row>
    <row r="11" spans="1:68" x14ac:dyDescent="0.2">
      <c r="A11" s="146" t="s">
        <v>1403</v>
      </c>
      <c r="B11" s="147" t="str">
        <f>Elevage!L9</f>
        <v>AVIRONS/ SAINT LEU</v>
      </c>
      <c r="C11" s="163">
        <f>Elevage!B9</f>
        <v>46111</v>
      </c>
      <c r="D11" s="147">
        <v>0</v>
      </c>
      <c r="E11" s="148">
        <v>0</v>
      </c>
      <c r="F11" s="148">
        <v>22</v>
      </c>
      <c r="G11" s="149">
        <v>2</v>
      </c>
      <c r="H11" s="150" t="s">
        <v>1493</v>
      </c>
      <c r="I11" s="150" t="s">
        <v>35</v>
      </c>
      <c r="J11" s="150">
        <v>400</v>
      </c>
      <c r="K11" s="150">
        <v>38</v>
      </c>
      <c r="L11" s="150">
        <v>1</v>
      </c>
      <c r="M11" s="150">
        <v>5</v>
      </c>
      <c r="N11" s="150">
        <v>1992</v>
      </c>
      <c r="O11" s="151">
        <f t="shared" si="0"/>
        <v>34</v>
      </c>
      <c r="P11" s="152">
        <v>0</v>
      </c>
      <c r="Q11" s="153" t="s">
        <v>1492</v>
      </c>
      <c r="R11" s="153">
        <v>1</v>
      </c>
      <c r="S11" s="153">
        <v>1</v>
      </c>
      <c r="T11" s="154" t="s">
        <v>1487</v>
      </c>
      <c r="U11" s="154">
        <v>0</v>
      </c>
      <c r="V11" s="154">
        <v>0</v>
      </c>
      <c r="W11" s="154">
        <v>1</v>
      </c>
      <c r="X11" s="154">
        <v>0</v>
      </c>
      <c r="Y11" s="154">
        <v>0</v>
      </c>
      <c r="Z11" s="154">
        <v>0</v>
      </c>
      <c r="AA11" s="154">
        <v>0</v>
      </c>
      <c r="AB11" s="154">
        <v>0</v>
      </c>
      <c r="AC11" s="155" t="s">
        <v>1496</v>
      </c>
      <c r="AD11" s="156" t="s">
        <v>1496</v>
      </c>
      <c r="AE11" s="156">
        <v>40</v>
      </c>
      <c r="AF11" s="157">
        <v>1</v>
      </c>
      <c r="AG11" s="158" t="s">
        <v>1517</v>
      </c>
      <c r="AH11" s="159" t="s">
        <v>1543</v>
      </c>
      <c r="AI11" s="161">
        <v>1</v>
      </c>
      <c r="AJ11" s="161">
        <v>1</v>
      </c>
      <c r="AK11" s="161">
        <v>0</v>
      </c>
      <c r="AL11" s="161">
        <v>0</v>
      </c>
      <c r="AM11" s="161">
        <v>1</v>
      </c>
      <c r="AN11" s="161">
        <v>0</v>
      </c>
      <c r="AO11" s="161">
        <v>0</v>
      </c>
      <c r="AP11" s="149" t="s">
        <v>1501</v>
      </c>
      <c r="AQ11" s="167" t="s">
        <v>1544</v>
      </c>
      <c r="AR11" s="150" t="s">
        <v>1503</v>
      </c>
      <c r="AS11" s="150">
        <f t="shared" si="1"/>
        <v>1</v>
      </c>
      <c r="AT11" s="150">
        <v>1</v>
      </c>
      <c r="AU11" s="150">
        <v>0</v>
      </c>
      <c r="AV11" s="150">
        <f t="shared" si="2"/>
        <v>1</v>
      </c>
      <c r="AW11" s="150">
        <v>0</v>
      </c>
      <c r="AX11" s="150">
        <v>1</v>
      </c>
      <c r="AY11" s="150">
        <f t="shared" si="3"/>
        <v>1</v>
      </c>
      <c r="AZ11" s="150">
        <v>1</v>
      </c>
      <c r="BA11" s="150">
        <f t="shared" si="4"/>
        <v>0</v>
      </c>
      <c r="BB11" s="150">
        <v>0</v>
      </c>
      <c r="BC11" s="150">
        <f t="shared" si="5"/>
        <v>0</v>
      </c>
      <c r="BD11" s="151">
        <v>0</v>
      </c>
      <c r="BE11" s="150">
        <f t="shared" si="6"/>
        <v>0</v>
      </c>
      <c r="BF11" s="151">
        <v>0</v>
      </c>
      <c r="BG11" s="150">
        <v>0</v>
      </c>
      <c r="BH11" s="150">
        <f t="shared" ref="BH11" si="19">IF(OR(BI11=1),1,0)</f>
        <v>0</v>
      </c>
      <c r="BI11" s="151">
        <v>0</v>
      </c>
      <c r="BJ11" s="150">
        <f t="shared" ref="BJ11" si="20">IF(OR(BK11=1),1,0)</f>
        <v>0</v>
      </c>
      <c r="BK11" s="151">
        <v>0</v>
      </c>
      <c r="BL11" s="152">
        <v>0</v>
      </c>
      <c r="BM11" s="153" t="s">
        <v>1530</v>
      </c>
      <c r="BN11" s="153">
        <v>0</v>
      </c>
      <c r="BO11" s="153">
        <v>1</v>
      </c>
      <c r="BP11" s="162" t="s">
        <v>1526</v>
      </c>
    </row>
    <row r="12" spans="1:68" x14ac:dyDescent="0.2">
      <c r="A12" s="146" t="s">
        <v>1404</v>
      </c>
      <c r="B12" s="147" t="str">
        <f>Elevage!L10</f>
        <v>AVIRONS/ SAINT LEU</v>
      </c>
      <c r="C12" s="163">
        <f>Elevage!B10</f>
        <v>46111</v>
      </c>
      <c r="D12" s="147">
        <v>0</v>
      </c>
      <c r="E12" s="148">
        <v>0</v>
      </c>
      <c r="F12" s="148">
        <v>22</v>
      </c>
      <c r="G12" s="149">
        <v>1</v>
      </c>
      <c r="H12" s="150" t="s">
        <v>1493</v>
      </c>
      <c r="I12" s="150" t="s">
        <v>35</v>
      </c>
      <c r="J12" s="150">
        <v>400</v>
      </c>
      <c r="K12" s="150">
        <v>32</v>
      </c>
      <c r="L12" s="150">
        <v>1</v>
      </c>
      <c r="M12" s="150">
        <v>5</v>
      </c>
      <c r="N12" s="150">
        <v>1995</v>
      </c>
      <c r="O12" s="151">
        <f t="shared" si="0"/>
        <v>31</v>
      </c>
      <c r="P12" s="152">
        <v>0</v>
      </c>
      <c r="Q12" s="153" t="s">
        <v>1492</v>
      </c>
      <c r="R12" s="153">
        <v>1</v>
      </c>
      <c r="S12" s="153">
        <v>0</v>
      </c>
      <c r="T12" s="154" t="s">
        <v>1492</v>
      </c>
      <c r="U12" s="154">
        <v>0</v>
      </c>
      <c r="V12" s="154">
        <v>0</v>
      </c>
      <c r="W12" s="154">
        <v>0</v>
      </c>
      <c r="X12" s="154">
        <v>0</v>
      </c>
      <c r="Y12" s="154">
        <v>0</v>
      </c>
      <c r="Z12" s="154">
        <v>0</v>
      </c>
      <c r="AA12" s="154">
        <v>0</v>
      </c>
      <c r="AB12" s="154">
        <v>0</v>
      </c>
      <c r="AC12" s="155" t="s">
        <v>1514</v>
      </c>
      <c r="AD12" s="156" t="s">
        <v>1496</v>
      </c>
      <c r="AE12" s="156">
        <v>40</v>
      </c>
      <c r="AF12" s="157">
        <v>1</v>
      </c>
      <c r="AG12" s="158" t="s">
        <v>1517</v>
      </c>
      <c r="AH12" s="159" t="s">
        <v>1499</v>
      </c>
      <c r="AI12" s="161">
        <v>0</v>
      </c>
      <c r="AJ12" s="161">
        <v>1</v>
      </c>
      <c r="AK12" s="161">
        <v>0</v>
      </c>
      <c r="AL12" s="161">
        <v>1</v>
      </c>
      <c r="AM12" s="161">
        <v>0</v>
      </c>
      <c r="AN12" s="161">
        <v>0</v>
      </c>
      <c r="AO12" s="161">
        <v>0</v>
      </c>
      <c r="AP12" s="149" t="s">
        <v>1513</v>
      </c>
      <c r="AQ12" s="167"/>
      <c r="AR12" s="150" t="s">
        <v>1503</v>
      </c>
      <c r="AS12" s="150">
        <f t="shared" si="1"/>
        <v>1</v>
      </c>
      <c r="AT12" s="150">
        <v>1</v>
      </c>
      <c r="AU12" s="150">
        <v>0</v>
      </c>
      <c r="AV12" s="150">
        <f t="shared" si="2"/>
        <v>1</v>
      </c>
      <c r="AW12" s="150">
        <v>0</v>
      </c>
      <c r="AX12" s="150">
        <v>1</v>
      </c>
      <c r="AY12" s="150">
        <f t="shared" si="3"/>
        <v>0</v>
      </c>
      <c r="AZ12" s="150">
        <v>0</v>
      </c>
      <c r="BA12" s="150">
        <f t="shared" si="4"/>
        <v>0</v>
      </c>
      <c r="BB12" s="150">
        <v>0</v>
      </c>
      <c r="BC12" s="150">
        <f t="shared" si="5"/>
        <v>1</v>
      </c>
      <c r="BD12" s="151">
        <v>1</v>
      </c>
      <c r="BE12" s="150">
        <f t="shared" si="6"/>
        <v>0</v>
      </c>
      <c r="BF12" s="151">
        <v>0</v>
      </c>
      <c r="BG12" s="150">
        <v>0</v>
      </c>
      <c r="BH12" s="150">
        <f t="shared" ref="BH12" si="21">IF(OR(BI12=1),1,0)</f>
        <v>0</v>
      </c>
      <c r="BI12" s="151">
        <v>0</v>
      </c>
      <c r="BJ12" s="150">
        <f t="shared" ref="BJ12" si="22">IF(OR(BK12=1),1,0)</f>
        <v>0</v>
      </c>
      <c r="BK12" s="151">
        <v>0</v>
      </c>
      <c r="BL12" s="152">
        <v>1</v>
      </c>
      <c r="BM12" s="153" t="s">
        <v>1567</v>
      </c>
      <c r="BN12" s="153">
        <v>0</v>
      </c>
      <c r="BO12" s="153">
        <v>1</v>
      </c>
      <c r="BP12" s="162" t="s">
        <v>1621</v>
      </c>
    </row>
    <row r="13" spans="1:68" x14ac:dyDescent="0.2">
      <c r="A13" s="146" t="s">
        <v>1405</v>
      </c>
      <c r="B13" s="147" t="str">
        <f>Elevage!L11</f>
        <v>AVIRONS/ SAINT LEU</v>
      </c>
      <c r="C13" s="163">
        <f>Elevage!B11</f>
        <v>46111</v>
      </c>
      <c r="D13" s="147">
        <v>0</v>
      </c>
      <c r="E13" s="148">
        <v>0</v>
      </c>
      <c r="F13" s="148">
        <v>26</v>
      </c>
      <c r="G13" s="149">
        <v>1</v>
      </c>
      <c r="H13" s="150" t="s">
        <v>1493</v>
      </c>
      <c r="I13" s="150" t="s">
        <v>35</v>
      </c>
      <c r="J13" s="150">
        <v>400</v>
      </c>
      <c r="K13" s="150">
        <v>35</v>
      </c>
      <c r="L13" s="150">
        <v>1</v>
      </c>
      <c r="M13" s="150">
        <v>5</v>
      </c>
      <c r="N13" s="150">
        <v>2011</v>
      </c>
      <c r="O13" s="151">
        <f t="shared" si="0"/>
        <v>15</v>
      </c>
      <c r="P13" s="152">
        <v>0</v>
      </c>
      <c r="Q13" s="153" t="s">
        <v>1492</v>
      </c>
      <c r="R13" s="153">
        <v>1</v>
      </c>
      <c r="S13" s="153">
        <v>1</v>
      </c>
      <c r="T13" s="154" t="s">
        <v>1516</v>
      </c>
      <c r="U13" s="154">
        <v>0</v>
      </c>
      <c r="V13" s="154">
        <v>0</v>
      </c>
      <c r="W13" s="154">
        <v>0</v>
      </c>
      <c r="X13" s="154">
        <v>0</v>
      </c>
      <c r="Y13" s="154">
        <v>0</v>
      </c>
      <c r="Z13" s="154">
        <v>0</v>
      </c>
      <c r="AA13" s="154">
        <v>0</v>
      </c>
      <c r="AB13" s="154">
        <v>0</v>
      </c>
      <c r="AC13" s="155" t="s">
        <v>1496</v>
      </c>
      <c r="AD13" s="156" t="s">
        <v>1496</v>
      </c>
      <c r="AE13" s="156">
        <v>45</v>
      </c>
      <c r="AF13" s="157">
        <v>1</v>
      </c>
      <c r="AG13" s="158" t="s">
        <v>1517</v>
      </c>
      <c r="AH13" s="159" t="s">
        <v>1499</v>
      </c>
      <c r="AI13" s="161">
        <v>0</v>
      </c>
      <c r="AJ13" s="161">
        <v>1</v>
      </c>
      <c r="AK13" s="161">
        <v>1</v>
      </c>
      <c r="AL13" s="161">
        <v>0</v>
      </c>
      <c r="AM13" s="161">
        <v>0</v>
      </c>
      <c r="AN13" s="161">
        <v>0</v>
      </c>
      <c r="AO13" s="161">
        <v>0</v>
      </c>
      <c r="AP13" s="149" t="s">
        <v>1513</v>
      </c>
      <c r="AQ13" s="167" t="s">
        <v>1546</v>
      </c>
      <c r="AR13" s="150" t="s">
        <v>1503</v>
      </c>
      <c r="AS13" s="150">
        <f t="shared" si="1"/>
        <v>1</v>
      </c>
      <c r="AT13" s="150">
        <v>1</v>
      </c>
      <c r="AU13" s="150">
        <v>0</v>
      </c>
      <c r="AV13" s="150">
        <f t="shared" si="2"/>
        <v>1</v>
      </c>
      <c r="AW13" s="150">
        <v>0</v>
      </c>
      <c r="AX13" s="150">
        <v>1</v>
      </c>
      <c r="AY13" s="150">
        <f t="shared" si="3"/>
        <v>0</v>
      </c>
      <c r="AZ13" s="150">
        <v>0</v>
      </c>
      <c r="BA13" s="150">
        <f t="shared" si="4"/>
        <v>0</v>
      </c>
      <c r="BB13" s="150">
        <v>0</v>
      </c>
      <c r="BC13" s="150">
        <f t="shared" si="5"/>
        <v>0</v>
      </c>
      <c r="BD13" s="151">
        <v>0</v>
      </c>
      <c r="BE13" s="150">
        <f t="shared" si="6"/>
        <v>0</v>
      </c>
      <c r="BF13" s="151">
        <v>0</v>
      </c>
      <c r="BG13" s="150">
        <v>0</v>
      </c>
      <c r="BH13" s="150">
        <f t="shared" ref="BH13" si="23">IF(OR(BI13=1),1,0)</f>
        <v>0</v>
      </c>
      <c r="BI13" s="151">
        <v>0</v>
      </c>
      <c r="BJ13" s="150">
        <f t="shared" ref="BJ13" si="24">IF(OR(BK13=1),1,0)</f>
        <v>0</v>
      </c>
      <c r="BK13" s="151">
        <v>0</v>
      </c>
      <c r="BL13" s="152">
        <v>1</v>
      </c>
      <c r="BM13" s="153" t="s">
        <v>1561</v>
      </c>
      <c r="BN13" s="153">
        <v>0</v>
      </c>
      <c r="BO13" s="153">
        <v>1</v>
      </c>
      <c r="BP13" s="162" t="s">
        <v>1526</v>
      </c>
    </row>
    <row r="14" spans="1:68" x14ac:dyDescent="0.2">
      <c r="A14" s="146" t="s">
        <v>1406</v>
      </c>
      <c r="B14" s="147" t="str">
        <f>Elevage!L12</f>
        <v>AVIRONS/ SAINT LEU</v>
      </c>
      <c r="C14" s="163">
        <f>Elevage!B12</f>
        <v>46112</v>
      </c>
      <c r="D14" s="147">
        <v>0</v>
      </c>
      <c r="E14" s="148">
        <v>0</v>
      </c>
      <c r="F14" s="148">
        <v>25</v>
      </c>
      <c r="G14" s="149">
        <v>1</v>
      </c>
      <c r="H14" s="150" t="s">
        <v>1493</v>
      </c>
      <c r="I14" s="150" t="s">
        <v>35</v>
      </c>
      <c r="J14" s="150">
        <v>450</v>
      </c>
      <c r="K14" s="150">
        <v>32</v>
      </c>
      <c r="L14" s="150">
        <v>1</v>
      </c>
      <c r="M14" s="150">
        <v>5</v>
      </c>
      <c r="N14" s="150">
        <v>2000</v>
      </c>
      <c r="O14" s="151">
        <f t="shared" si="0"/>
        <v>26</v>
      </c>
      <c r="P14" s="152">
        <v>0</v>
      </c>
      <c r="Q14" s="153" t="s">
        <v>1492</v>
      </c>
      <c r="R14" s="153">
        <v>0</v>
      </c>
      <c r="S14" s="153">
        <v>0</v>
      </c>
      <c r="T14" s="154" t="s">
        <v>1492</v>
      </c>
      <c r="U14" s="154">
        <v>0</v>
      </c>
      <c r="V14" s="154">
        <v>0</v>
      </c>
      <c r="W14" s="154">
        <v>0</v>
      </c>
      <c r="X14" s="154">
        <v>0</v>
      </c>
      <c r="Y14" s="154">
        <v>0</v>
      </c>
      <c r="Z14" s="154">
        <v>0</v>
      </c>
      <c r="AA14" s="154">
        <v>0</v>
      </c>
      <c r="AB14" s="154">
        <v>0</v>
      </c>
      <c r="AC14" s="155" t="s">
        <v>1496</v>
      </c>
      <c r="AD14" s="156" t="s">
        <v>1496</v>
      </c>
      <c r="AE14" s="156">
        <v>40</v>
      </c>
      <c r="AF14" s="157">
        <v>1</v>
      </c>
      <c r="AG14" s="158" t="s">
        <v>1517</v>
      </c>
      <c r="AH14" s="159" t="s">
        <v>1499</v>
      </c>
      <c r="AI14" s="160">
        <v>0</v>
      </c>
      <c r="AJ14" s="160">
        <v>1</v>
      </c>
      <c r="AK14" s="160">
        <v>1</v>
      </c>
      <c r="AL14" s="160">
        <v>0</v>
      </c>
      <c r="AM14" s="160">
        <v>1</v>
      </c>
      <c r="AN14" s="161">
        <v>0</v>
      </c>
      <c r="AO14" s="161">
        <v>1</v>
      </c>
      <c r="AP14" s="149" t="s">
        <v>1513</v>
      </c>
      <c r="AQ14" s="167" t="s">
        <v>1545</v>
      </c>
      <c r="AR14" s="150" t="s">
        <v>1503</v>
      </c>
      <c r="AS14" s="150">
        <f t="shared" si="1"/>
        <v>1</v>
      </c>
      <c r="AT14" s="150">
        <v>1</v>
      </c>
      <c r="AU14" s="150">
        <v>0</v>
      </c>
      <c r="AV14" s="150">
        <f t="shared" si="2"/>
        <v>1</v>
      </c>
      <c r="AW14" s="150">
        <v>0</v>
      </c>
      <c r="AX14" s="150">
        <v>1</v>
      </c>
      <c r="AY14" s="150">
        <f t="shared" si="3"/>
        <v>1</v>
      </c>
      <c r="AZ14" s="150">
        <v>1</v>
      </c>
      <c r="BA14" s="150">
        <f t="shared" si="4"/>
        <v>0</v>
      </c>
      <c r="BB14" s="150">
        <v>0</v>
      </c>
      <c r="BC14" s="150">
        <f t="shared" si="5"/>
        <v>0</v>
      </c>
      <c r="BD14" s="151">
        <v>0</v>
      </c>
      <c r="BE14" s="150">
        <f t="shared" si="6"/>
        <v>1</v>
      </c>
      <c r="BF14" s="151">
        <v>0</v>
      </c>
      <c r="BG14" s="150">
        <v>1</v>
      </c>
      <c r="BH14" s="150">
        <f t="shared" ref="BH14" si="25">IF(OR(BI14=1),1,0)</f>
        <v>0</v>
      </c>
      <c r="BI14" s="151">
        <v>0</v>
      </c>
      <c r="BJ14" s="150">
        <f t="shared" ref="BJ14" si="26">IF(OR(BK14=1),1,0)</f>
        <v>0</v>
      </c>
      <c r="BK14" s="151">
        <v>0</v>
      </c>
      <c r="BL14" s="152">
        <v>1</v>
      </c>
      <c r="BM14" s="153" t="s">
        <v>1549</v>
      </c>
      <c r="BN14" s="153">
        <v>0</v>
      </c>
      <c r="BO14" s="153">
        <v>1</v>
      </c>
      <c r="BP14" s="162" t="s">
        <v>1550</v>
      </c>
    </row>
    <row r="15" spans="1:68" x14ac:dyDescent="0.2">
      <c r="A15" s="146" t="s">
        <v>1407</v>
      </c>
      <c r="B15" s="147" t="str">
        <f>Elevage!L13</f>
        <v>AVIRONS/ SAINT LEU</v>
      </c>
      <c r="C15" s="163">
        <f>Elevage!B13</f>
        <v>46112</v>
      </c>
      <c r="D15" s="147">
        <v>0</v>
      </c>
      <c r="E15" s="148">
        <v>0</v>
      </c>
      <c r="F15" s="148">
        <v>24</v>
      </c>
      <c r="G15" s="149">
        <v>1</v>
      </c>
      <c r="H15" s="150" t="s">
        <v>1513</v>
      </c>
      <c r="I15" s="150" t="s">
        <v>35</v>
      </c>
      <c r="J15" s="150">
        <v>320</v>
      </c>
      <c r="K15" s="150">
        <v>42</v>
      </c>
      <c r="L15" s="150">
        <v>1</v>
      </c>
      <c r="M15" s="150">
        <v>6</v>
      </c>
      <c r="N15" s="150">
        <v>1997</v>
      </c>
      <c r="O15" s="151">
        <f t="shared" si="0"/>
        <v>29</v>
      </c>
      <c r="P15" s="152">
        <v>0</v>
      </c>
      <c r="Q15" s="153" t="s">
        <v>1492</v>
      </c>
      <c r="R15" s="153">
        <v>0</v>
      </c>
      <c r="S15" s="153">
        <v>0</v>
      </c>
      <c r="T15" s="154" t="s">
        <v>1492</v>
      </c>
      <c r="U15" s="154">
        <v>0</v>
      </c>
      <c r="V15" s="154">
        <v>0</v>
      </c>
      <c r="W15" s="154">
        <v>0</v>
      </c>
      <c r="X15" s="154">
        <v>0</v>
      </c>
      <c r="Y15" s="154">
        <v>0</v>
      </c>
      <c r="Z15" s="154">
        <v>0</v>
      </c>
      <c r="AA15" s="154">
        <v>0</v>
      </c>
      <c r="AB15" s="154">
        <v>0</v>
      </c>
      <c r="AC15" s="155" t="s">
        <v>1495</v>
      </c>
      <c r="AD15" s="156" t="s">
        <v>1496</v>
      </c>
      <c r="AE15" s="156">
        <v>40</v>
      </c>
      <c r="AF15" s="157">
        <v>1</v>
      </c>
      <c r="AG15" s="158" t="s">
        <v>1517</v>
      </c>
      <c r="AH15" s="159" t="s">
        <v>1499</v>
      </c>
      <c r="AI15" s="160">
        <v>0</v>
      </c>
      <c r="AJ15" s="160">
        <v>0</v>
      </c>
      <c r="AK15" s="160">
        <v>1</v>
      </c>
      <c r="AL15" s="160">
        <v>1</v>
      </c>
      <c r="AM15" s="160">
        <v>1</v>
      </c>
      <c r="AN15" s="161">
        <v>0</v>
      </c>
      <c r="AO15" s="161">
        <v>1</v>
      </c>
      <c r="AP15" s="149" t="s">
        <v>1513</v>
      </c>
      <c r="AQ15" s="167"/>
      <c r="AR15" s="150" t="s">
        <v>1503</v>
      </c>
      <c r="AS15" s="150">
        <f t="shared" si="1"/>
        <v>1</v>
      </c>
      <c r="AT15" s="150">
        <v>1</v>
      </c>
      <c r="AU15" s="150">
        <v>0</v>
      </c>
      <c r="AV15" s="150">
        <f t="shared" si="2"/>
        <v>0</v>
      </c>
      <c r="AW15" s="150">
        <v>0</v>
      </c>
      <c r="AX15" s="150">
        <v>0</v>
      </c>
      <c r="AY15" s="150">
        <f t="shared" si="3"/>
        <v>0</v>
      </c>
      <c r="AZ15" s="150">
        <v>0</v>
      </c>
      <c r="BA15" s="150">
        <f t="shared" si="4"/>
        <v>0</v>
      </c>
      <c r="BB15" s="150">
        <v>0</v>
      </c>
      <c r="BC15" s="150">
        <f t="shared" si="5"/>
        <v>0</v>
      </c>
      <c r="BD15" s="151">
        <v>0</v>
      </c>
      <c r="BE15" s="150">
        <f t="shared" si="6"/>
        <v>0</v>
      </c>
      <c r="BF15" s="151">
        <v>0</v>
      </c>
      <c r="BG15" s="150">
        <v>0</v>
      </c>
      <c r="BH15" s="150">
        <f t="shared" ref="BH15" si="27">IF(OR(BI15=1),1,0)</f>
        <v>0</v>
      </c>
      <c r="BI15" s="151">
        <v>0</v>
      </c>
      <c r="BJ15" s="150">
        <f t="shared" ref="BJ15" si="28">IF(OR(BK15=1),1,0)</f>
        <v>0</v>
      </c>
      <c r="BK15" s="151">
        <v>0</v>
      </c>
      <c r="BL15" s="152">
        <v>1</v>
      </c>
      <c r="BM15" s="153" t="s">
        <v>1547</v>
      </c>
      <c r="BN15" s="153">
        <v>0</v>
      </c>
      <c r="BO15" s="153">
        <v>0</v>
      </c>
      <c r="BP15" s="162" t="s">
        <v>1530</v>
      </c>
    </row>
    <row r="16" spans="1:68" x14ac:dyDescent="0.2">
      <c r="A16" s="146" t="s">
        <v>1408</v>
      </c>
      <c r="B16" s="147" t="str">
        <f>Elevage!L14</f>
        <v>AVIRONS/ SAINT LEU</v>
      </c>
      <c r="C16" s="163">
        <f>Elevage!B14</f>
        <v>46112</v>
      </c>
      <c r="D16" s="147">
        <v>1</v>
      </c>
      <c r="E16" s="148">
        <v>0</v>
      </c>
      <c r="F16" s="148">
        <v>26</v>
      </c>
      <c r="G16" s="149">
        <v>1</v>
      </c>
      <c r="H16" s="150" t="s">
        <v>1493</v>
      </c>
      <c r="I16" s="150" t="s">
        <v>35</v>
      </c>
      <c r="J16" s="150">
        <v>750</v>
      </c>
      <c r="K16" s="150">
        <v>80</v>
      </c>
      <c r="L16" s="150">
        <v>1</v>
      </c>
      <c r="M16" s="150">
        <v>7</v>
      </c>
      <c r="N16" s="150">
        <v>1990</v>
      </c>
      <c r="O16" s="151">
        <f t="shared" si="0"/>
        <v>36</v>
      </c>
      <c r="P16" s="152">
        <v>1</v>
      </c>
      <c r="Q16" s="153" t="s">
        <v>1551</v>
      </c>
      <c r="R16" s="153">
        <v>0</v>
      </c>
      <c r="S16" s="153">
        <v>1</v>
      </c>
      <c r="T16" s="154" t="s">
        <v>1485</v>
      </c>
      <c r="U16" s="154">
        <v>0</v>
      </c>
      <c r="V16" s="154">
        <v>0</v>
      </c>
      <c r="W16" s="154">
        <v>0</v>
      </c>
      <c r="X16" s="154">
        <v>0</v>
      </c>
      <c r="Y16" s="154">
        <v>0</v>
      </c>
      <c r="Z16" s="154">
        <v>0</v>
      </c>
      <c r="AA16" s="154">
        <v>0</v>
      </c>
      <c r="AB16" s="154">
        <v>0</v>
      </c>
      <c r="AC16" s="155" t="s">
        <v>1514</v>
      </c>
      <c r="AD16" s="156" t="s">
        <v>1496</v>
      </c>
      <c r="AE16" s="156">
        <v>40</v>
      </c>
      <c r="AF16" s="157">
        <v>1</v>
      </c>
      <c r="AG16" s="158" t="s">
        <v>1517</v>
      </c>
      <c r="AH16" s="159" t="s">
        <v>1499</v>
      </c>
      <c r="AI16" s="160">
        <v>1</v>
      </c>
      <c r="AJ16" s="160">
        <v>1</v>
      </c>
      <c r="AK16" s="160">
        <v>0</v>
      </c>
      <c r="AL16" s="160">
        <v>1</v>
      </c>
      <c r="AM16" s="160">
        <v>0</v>
      </c>
      <c r="AN16" s="161">
        <v>0</v>
      </c>
      <c r="AO16" s="160">
        <v>0</v>
      </c>
      <c r="AP16" s="149" t="s">
        <v>1513</v>
      </c>
      <c r="AQ16" s="167" t="s">
        <v>1546</v>
      </c>
      <c r="AR16" s="150" t="s">
        <v>1503</v>
      </c>
      <c r="AS16" s="150">
        <f t="shared" si="1"/>
        <v>1</v>
      </c>
      <c r="AT16" s="150">
        <v>1</v>
      </c>
      <c r="AU16" s="150">
        <v>0</v>
      </c>
      <c r="AV16" s="150">
        <f t="shared" si="2"/>
        <v>1</v>
      </c>
      <c r="AW16" s="150">
        <v>0</v>
      </c>
      <c r="AX16" s="150">
        <v>1</v>
      </c>
      <c r="AY16" s="150">
        <f t="shared" si="3"/>
        <v>0</v>
      </c>
      <c r="AZ16" s="150">
        <v>0</v>
      </c>
      <c r="BA16" s="150">
        <f t="shared" si="4"/>
        <v>0</v>
      </c>
      <c r="BB16" s="150">
        <v>0</v>
      </c>
      <c r="BC16" s="150">
        <f t="shared" si="5"/>
        <v>0</v>
      </c>
      <c r="BD16" s="151">
        <v>0</v>
      </c>
      <c r="BE16" s="150">
        <f t="shared" si="6"/>
        <v>0</v>
      </c>
      <c r="BF16" s="151">
        <v>0</v>
      </c>
      <c r="BG16" s="150">
        <v>0</v>
      </c>
      <c r="BH16" s="150">
        <f t="shared" ref="BH16" si="29">IF(OR(BI16=1),1,0)</f>
        <v>0</v>
      </c>
      <c r="BI16" s="151">
        <v>0</v>
      </c>
      <c r="BJ16" s="150">
        <f t="shared" ref="BJ16" si="30">IF(OR(BK16=1),1,0)</f>
        <v>0</v>
      </c>
      <c r="BK16" s="150">
        <v>0</v>
      </c>
      <c r="BL16" s="152">
        <v>1</v>
      </c>
      <c r="BM16" s="153" t="s">
        <v>1552</v>
      </c>
      <c r="BN16" s="153">
        <v>1</v>
      </c>
      <c r="BO16" s="153">
        <v>1</v>
      </c>
      <c r="BP16" s="162" t="s">
        <v>1553</v>
      </c>
    </row>
    <row r="17" spans="1:68" x14ac:dyDescent="0.2">
      <c r="A17" s="146" t="s">
        <v>1409</v>
      </c>
      <c r="B17" s="147" t="str">
        <f>Elevage!L15</f>
        <v>AVIRONS/ SAINT LEU</v>
      </c>
      <c r="C17" s="163">
        <f>Elevage!B15</f>
        <v>46112</v>
      </c>
      <c r="D17" s="147">
        <v>0</v>
      </c>
      <c r="E17" s="148">
        <v>0</v>
      </c>
      <c r="G17" s="149">
        <v>1</v>
      </c>
      <c r="H17" s="150" t="s">
        <v>1505</v>
      </c>
      <c r="I17" s="150" t="s">
        <v>35</v>
      </c>
      <c r="J17" s="150">
        <v>85</v>
      </c>
      <c r="K17" s="150">
        <v>15</v>
      </c>
      <c r="L17" s="150">
        <v>2</v>
      </c>
      <c r="M17" s="150">
        <v>0</v>
      </c>
      <c r="N17" s="150">
        <v>2021</v>
      </c>
      <c r="O17" s="151">
        <f>2026-N17</f>
        <v>5</v>
      </c>
      <c r="P17" s="152">
        <v>1</v>
      </c>
      <c r="Q17" s="153" t="s">
        <v>1554</v>
      </c>
      <c r="R17" s="153">
        <v>1</v>
      </c>
      <c r="S17" s="153">
        <v>1</v>
      </c>
      <c r="T17" s="154" t="s">
        <v>1555</v>
      </c>
      <c r="U17" s="154">
        <v>0</v>
      </c>
      <c r="V17" s="154">
        <v>0</v>
      </c>
      <c r="W17" s="154">
        <v>1</v>
      </c>
      <c r="X17" s="154">
        <v>1</v>
      </c>
      <c r="Y17" s="154">
        <v>1</v>
      </c>
      <c r="Z17" s="154">
        <v>0</v>
      </c>
      <c r="AA17" s="154">
        <v>0</v>
      </c>
      <c r="AB17" s="154">
        <v>0</v>
      </c>
      <c r="AC17" s="155" t="s">
        <v>1514</v>
      </c>
      <c r="AD17" s="156" t="s">
        <v>1496</v>
      </c>
      <c r="AE17" s="156">
        <v>240</v>
      </c>
      <c r="AF17" s="157">
        <v>0</v>
      </c>
      <c r="AG17" s="158" t="s">
        <v>1492</v>
      </c>
      <c r="AH17" s="159" t="s">
        <v>1499</v>
      </c>
      <c r="AI17" s="160">
        <v>0</v>
      </c>
      <c r="AJ17" s="160">
        <v>1</v>
      </c>
      <c r="AK17" s="160">
        <v>0</v>
      </c>
      <c r="AL17" s="160">
        <v>1</v>
      </c>
      <c r="AM17" s="160">
        <v>0</v>
      </c>
      <c r="AN17" s="161">
        <v>0</v>
      </c>
      <c r="AO17" s="160">
        <v>0</v>
      </c>
      <c r="AP17" s="149" t="s">
        <v>1501</v>
      </c>
      <c r="AQ17" s="167" t="s">
        <v>1545</v>
      </c>
      <c r="AR17" s="150" t="s">
        <v>1503</v>
      </c>
      <c r="AS17" s="150">
        <f t="shared" si="1"/>
        <v>0</v>
      </c>
      <c r="AT17" s="150">
        <v>0</v>
      </c>
      <c r="AU17" s="150">
        <v>0</v>
      </c>
      <c r="AV17" s="150">
        <f t="shared" si="2"/>
        <v>0</v>
      </c>
      <c r="AW17" s="150">
        <v>0</v>
      </c>
      <c r="AX17" s="150">
        <v>0</v>
      </c>
      <c r="AY17" s="150">
        <f t="shared" si="3"/>
        <v>0</v>
      </c>
      <c r="AZ17" s="150">
        <v>0</v>
      </c>
      <c r="BA17" s="150">
        <f t="shared" si="4"/>
        <v>0</v>
      </c>
      <c r="BB17" s="150">
        <v>0</v>
      </c>
      <c r="BC17" s="150">
        <f t="shared" si="5"/>
        <v>1</v>
      </c>
      <c r="BD17" s="151">
        <v>1</v>
      </c>
      <c r="BE17" s="150">
        <f t="shared" si="6"/>
        <v>0</v>
      </c>
      <c r="BF17" s="151">
        <v>0</v>
      </c>
      <c r="BG17" s="150">
        <v>0</v>
      </c>
      <c r="BH17" s="150">
        <f t="shared" ref="BH17" si="31">IF(OR(BI17=1),1,0)</f>
        <v>0</v>
      </c>
      <c r="BI17" s="151">
        <v>0</v>
      </c>
      <c r="BJ17" s="150">
        <f t="shared" ref="BJ17" si="32">IF(OR(BK17=1),1,0)</f>
        <v>0</v>
      </c>
      <c r="BK17" s="150">
        <v>0</v>
      </c>
      <c r="BL17" s="152">
        <v>0</v>
      </c>
      <c r="BM17" s="153" t="s">
        <v>1530</v>
      </c>
      <c r="BN17" s="153">
        <v>0</v>
      </c>
      <c r="BO17" s="153">
        <v>1</v>
      </c>
      <c r="BP17" s="162" t="s">
        <v>1512</v>
      </c>
    </row>
    <row r="18" spans="1:68" x14ac:dyDescent="0.2">
      <c r="A18" s="146" t="s">
        <v>1410</v>
      </c>
      <c r="B18" s="147" t="str">
        <f>Elevage!L16</f>
        <v>AVIRONS/ SAINT LEU</v>
      </c>
      <c r="C18" s="163">
        <f>Elevage!B16</f>
        <v>46113</v>
      </c>
      <c r="D18" s="147">
        <v>0</v>
      </c>
      <c r="E18" s="148">
        <v>0</v>
      </c>
      <c r="AB18" s="154">
        <v>0</v>
      </c>
      <c r="BM18" s="153" t="s">
        <v>1590</v>
      </c>
    </row>
    <row r="19" spans="1:68" x14ac:dyDescent="0.2">
      <c r="A19" s="146" t="s">
        <v>1411</v>
      </c>
      <c r="B19" s="147" t="str">
        <f>Elevage!L17</f>
        <v>TROIS BASSINS/ SAINT PAUL</v>
      </c>
      <c r="C19" s="163">
        <f>Elevage!B17</f>
        <v>46113</v>
      </c>
      <c r="D19" s="147">
        <v>0</v>
      </c>
      <c r="E19" s="148">
        <v>0</v>
      </c>
      <c r="G19" s="149">
        <v>2</v>
      </c>
      <c r="H19" s="150" t="s">
        <v>1493</v>
      </c>
      <c r="I19" s="150" t="s">
        <v>35</v>
      </c>
      <c r="J19" s="150">
        <v>600</v>
      </c>
      <c r="K19" s="150">
        <v>38</v>
      </c>
      <c r="L19" s="150">
        <v>1</v>
      </c>
      <c r="M19" s="150">
        <v>6</v>
      </c>
      <c r="N19" s="150">
        <v>1990</v>
      </c>
      <c r="O19" s="151">
        <f>2026-N19</f>
        <v>36</v>
      </c>
      <c r="P19" s="152">
        <v>0</v>
      </c>
      <c r="Q19" s="153" t="s">
        <v>1551</v>
      </c>
      <c r="R19" s="153">
        <v>0</v>
      </c>
      <c r="S19" s="153">
        <v>0</v>
      </c>
      <c r="T19" s="154" t="s">
        <v>1487</v>
      </c>
      <c r="U19" s="154">
        <v>1</v>
      </c>
      <c r="V19" s="154">
        <v>0</v>
      </c>
      <c r="W19" s="154">
        <v>0</v>
      </c>
      <c r="X19" s="154">
        <v>1</v>
      </c>
      <c r="Y19" s="154">
        <v>0</v>
      </c>
      <c r="Z19" s="154">
        <v>0</v>
      </c>
      <c r="AA19" s="154">
        <v>0</v>
      </c>
      <c r="AB19" s="154">
        <v>0</v>
      </c>
      <c r="AC19" s="155" t="s">
        <v>1496</v>
      </c>
      <c r="AD19" s="156" t="s">
        <v>1496</v>
      </c>
      <c r="AE19" s="156">
        <v>40</v>
      </c>
      <c r="AF19" s="157">
        <v>1</v>
      </c>
      <c r="AG19" s="158" t="s">
        <v>1515</v>
      </c>
      <c r="AH19" s="159" t="s">
        <v>1499</v>
      </c>
      <c r="AI19" s="160">
        <v>0</v>
      </c>
      <c r="AJ19" s="160">
        <v>0</v>
      </c>
      <c r="AK19" s="160">
        <v>0</v>
      </c>
      <c r="AL19" s="160">
        <v>0</v>
      </c>
      <c r="AM19" s="160">
        <v>1</v>
      </c>
      <c r="AN19" s="161">
        <v>0</v>
      </c>
      <c r="AO19" s="160">
        <v>0</v>
      </c>
      <c r="AP19" s="149" t="s">
        <v>1501</v>
      </c>
      <c r="AQ19" s="167" t="s">
        <v>1546</v>
      </c>
      <c r="AR19" s="150" t="s">
        <v>1503</v>
      </c>
      <c r="AS19" s="150">
        <f>IF(OR(AT19=1,AU19=1),1,0)</f>
        <v>1</v>
      </c>
      <c r="AT19" s="150">
        <v>1</v>
      </c>
      <c r="AU19" s="150">
        <v>0</v>
      </c>
      <c r="AV19" s="150">
        <f>IF(OR(AW19=1,AX19),1,0)</f>
        <v>1</v>
      </c>
      <c r="AW19" s="150">
        <v>0</v>
      </c>
      <c r="AX19" s="150">
        <v>1</v>
      </c>
      <c r="AY19" s="150">
        <f>IF(OR(AZ19=1),1,0)</f>
        <v>0</v>
      </c>
      <c r="AZ19" s="150">
        <v>0</v>
      </c>
      <c r="BA19" s="150">
        <f>IF(OR(BB19=1),1,0)</f>
        <v>0</v>
      </c>
      <c r="BB19" s="150">
        <v>0</v>
      </c>
      <c r="BC19" s="150">
        <f>IF(OR(BD19=1),1,0)</f>
        <v>0</v>
      </c>
      <c r="BD19" s="151">
        <v>0</v>
      </c>
      <c r="BE19" s="150">
        <f>IF(OR(BG19=1,BF19),1,0)</f>
        <v>0</v>
      </c>
      <c r="BF19" s="151">
        <v>0</v>
      </c>
      <c r="BG19" s="150">
        <v>0</v>
      </c>
      <c r="BH19" s="150">
        <f t="shared" ref="BH19" si="33">IF(OR(BI19=1),1,0)</f>
        <v>0</v>
      </c>
      <c r="BI19" s="151">
        <v>0</v>
      </c>
      <c r="BJ19" s="150">
        <f t="shared" ref="BJ19" si="34">IF(OR(BK19=1),1,0)</f>
        <v>0</v>
      </c>
      <c r="BK19" s="150">
        <v>0</v>
      </c>
      <c r="BL19" s="152">
        <v>1</v>
      </c>
      <c r="BM19" s="153" t="s">
        <v>1561</v>
      </c>
      <c r="BN19" s="153">
        <v>0</v>
      </c>
      <c r="BO19" s="153">
        <v>1</v>
      </c>
      <c r="BP19" s="162" t="s">
        <v>1560</v>
      </c>
    </row>
    <row r="20" spans="1:68" x14ac:dyDescent="0.2">
      <c r="A20" s="146" t="s">
        <v>1412</v>
      </c>
      <c r="B20" s="147" t="str">
        <f>Elevage!L18</f>
        <v>TROIS BASSINS/ SAINT PAUL</v>
      </c>
      <c r="C20" s="163">
        <f>Elevage!B18</f>
        <v>46113</v>
      </c>
      <c r="D20" s="147">
        <v>0</v>
      </c>
      <c r="E20" s="148">
        <v>0</v>
      </c>
      <c r="G20" s="149">
        <v>1</v>
      </c>
      <c r="H20" s="150" t="s">
        <v>1493</v>
      </c>
      <c r="I20" s="150" t="s">
        <v>35</v>
      </c>
      <c r="J20" s="150">
        <v>450</v>
      </c>
      <c r="K20" s="150">
        <v>16</v>
      </c>
      <c r="L20" s="150">
        <v>1</v>
      </c>
      <c r="M20" s="150">
        <v>4</v>
      </c>
      <c r="N20" s="150">
        <v>1996</v>
      </c>
      <c r="O20" s="151">
        <f>2026-N20</f>
        <v>30</v>
      </c>
      <c r="P20" s="152">
        <v>0</v>
      </c>
      <c r="Q20" s="153" t="s">
        <v>1557</v>
      </c>
      <c r="R20" s="153">
        <v>0</v>
      </c>
      <c r="S20" s="153">
        <v>1</v>
      </c>
      <c r="T20" s="154" t="s">
        <v>1485</v>
      </c>
      <c r="U20" s="154">
        <v>1</v>
      </c>
      <c r="V20" s="154">
        <v>1</v>
      </c>
      <c r="W20" s="154">
        <v>1</v>
      </c>
      <c r="X20" s="154">
        <v>1</v>
      </c>
      <c r="Y20" s="154">
        <v>0</v>
      </c>
      <c r="Z20" s="154">
        <v>1</v>
      </c>
      <c r="AA20" s="154">
        <v>0</v>
      </c>
      <c r="AB20" s="154">
        <v>0</v>
      </c>
      <c r="AC20" s="155" t="s">
        <v>1496</v>
      </c>
      <c r="AD20" s="156" t="s">
        <v>1496</v>
      </c>
      <c r="AE20" s="156">
        <v>40</v>
      </c>
      <c r="AF20" s="157">
        <v>1</v>
      </c>
      <c r="AG20" s="158" t="s">
        <v>1515</v>
      </c>
      <c r="AH20" s="159" t="s">
        <v>1499</v>
      </c>
      <c r="AI20" s="160">
        <v>1</v>
      </c>
      <c r="AJ20" s="160">
        <v>1</v>
      </c>
      <c r="AK20" s="160">
        <v>1</v>
      </c>
      <c r="AL20" s="160">
        <v>0</v>
      </c>
      <c r="AM20" s="160">
        <v>0</v>
      </c>
      <c r="AN20" s="161">
        <v>1</v>
      </c>
      <c r="AO20" s="160">
        <v>0</v>
      </c>
      <c r="AP20" s="149" t="s">
        <v>1501</v>
      </c>
      <c r="AQ20" s="167" t="s">
        <v>1545</v>
      </c>
      <c r="AR20" s="150" t="s">
        <v>1503</v>
      </c>
      <c r="AS20" s="150">
        <f>IF(OR(AT20=1,AU20=1),1,0)</f>
        <v>1</v>
      </c>
      <c r="AT20" s="150">
        <v>1</v>
      </c>
      <c r="AU20" s="150">
        <v>0</v>
      </c>
      <c r="AV20" s="150">
        <f>IF(OR(AW20=1,AX20),1,0)</f>
        <v>0</v>
      </c>
      <c r="AW20" s="150">
        <v>0</v>
      </c>
      <c r="AX20" s="150">
        <v>0</v>
      </c>
      <c r="AY20" s="150">
        <f>IF(OR(AZ20=1),1,0)</f>
        <v>0</v>
      </c>
      <c r="AZ20" s="150">
        <v>0</v>
      </c>
      <c r="BA20" s="150">
        <f>IF(OR(BB20=1),1,0)</f>
        <v>0</v>
      </c>
      <c r="BB20" s="150">
        <v>0</v>
      </c>
      <c r="BC20" s="150">
        <f>IF(OR(BD20=1),1,0)</f>
        <v>1</v>
      </c>
      <c r="BD20" s="151">
        <v>1</v>
      </c>
      <c r="BE20" s="150">
        <f>IF(OR(BG20=1,BF20),1,0)</f>
        <v>0</v>
      </c>
      <c r="BF20" s="151">
        <v>0</v>
      </c>
      <c r="BG20" s="150">
        <v>0</v>
      </c>
      <c r="BH20" s="150">
        <f t="shared" ref="BH20" si="35">IF(OR(BI20=1),1,0)</f>
        <v>0</v>
      </c>
      <c r="BI20" s="151">
        <v>0</v>
      </c>
      <c r="BJ20" s="150">
        <f t="shared" ref="BJ20" si="36">IF(OR(BK20=1),1,0)</f>
        <v>0</v>
      </c>
      <c r="BK20" s="150">
        <v>0</v>
      </c>
      <c r="BL20" s="152">
        <v>1</v>
      </c>
      <c r="BM20" s="153" t="s">
        <v>1561</v>
      </c>
      <c r="BN20" s="153">
        <v>0</v>
      </c>
      <c r="BO20" s="153">
        <v>0</v>
      </c>
      <c r="BP20" s="162" t="s">
        <v>1530</v>
      </c>
    </row>
    <row r="21" spans="1:68" x14ac:dyDescent="0.2">
      <c r="A21" s="146" t="s">
        <v>1413</v>
      </c>
      <c r="B21" s="147" t="str">
        <f>Elevage!L19</f>
        <v>TROIS BASSINS/ SAINT PAUL</v>
      </c>
      <c r="C21" s="163">
        <f>Elevage!B19</f>
        <v>46114</v>
      </c>
      <c r="D21" s="147">
        <v>0</v>
      </c>
      <c r="E21" s="148">
        <v>0</v>
      </c>
      <c r="G21" s="149">
        <v>2</v>
      </c>
      <c r="H21" s="150" t="s">
        <v>1493</v>
      </c>
      <c r="I21" s="150" t="s">
        <v>35</v>
      </c>
      <c r="J21" s="150">
        <v>400</v>
      </c>
      <c r="K21" s="150">
        <v>46</v>
      </c>
      <c r="L21" s="150">
        <v>1</v>
      </c>
      <c r="M21" s="150">
        <v>4</v>
      </c>
      <c r="N21" s="150">
        <v>2006</v>
      </c>
      <c r="O21" s="151">
        <f t="shared" si="0"/>
        <v>20</v>
      </c>
      <c r="P21" s="152">
        <v>1</v>
      </c>
      <c r="Q21" s="153" t="s">
        <v>1551</v>
      </c>
      <c r="R21" s="153">
        <v>0</v>
      </c>
      <c r="S21" s="153">
        <v>0</v>
      </c>
      <c r="T21" s="154" t="s">
        <v>1492</v>
      </c>
      <c r="U21" s="154">
        <v>0</v>
      </c>
      <c r="V21" s="154">
        <v>0</v>
      </c>
      <c r="W21" s="154">
        <v>1</v>
      </c>
      <c r="X21" s="154">
        <v>1</v>
      </c>
      <c r="Y21" s="154">
        <v>0</v>
      </c>
      <c r="Z21" s="154">
        <v>0</v>
      </c>
      <c r="AA21" s="154">
        <v>0</v>
      </c>
      <c r="AB21" s="154">
        <v>0</v>
      </c>
      <c r="AC21" s="155" t="s">
        <v>1496</v>
      </c>
      <c r="AD21" s="156" t="s">
        <v>1496</v>
      </c>
      <c r="AE21" s="156">
        <v>40</v>
      </c>
      <c r="AF21" s="157">
        <v>1</v>
      </c>
      <c r="AG21" s="158" t="s">
        <v>1517</v>
      </c>
      <c r="AH21" s="159" t="s">
        <v>1499</v>
      </c>
      <c r="AI21" s="160">
        <v>0</v>
      </c>
      <c r="AJ21" s="160">
        <v>1</v>
      </c>
      <c r="AK21" s="160">
        <v>0</v>
      </c>
      <c r="AL21" s="160">
        <v>0</v>
      </c>
      <c r="AM21" s="160">
        <v>0</v>
      </c>
      <c r="AN21" s="161">
        <v>0</v>
      </c>
      <c r="AO21" s="160">
        <v>0</v>
      </c>
      <c r="AP21" s="149" t="s">
        <v>1501</v>
      </c>
      <c r="AQ21" s="167" t="s">
        <v>1545</v>
      </c>
      <c r="AR21" s="150" t="s">
        <v>1503</v>
      </c>
      <c r="AS21" s="150">
        <f t="shared" si="1"/>
        <v>0</v>
      </c>
      <c r="AT21" s="150">
        <v>0</v>
      </c>
      <c r="AU21" s="150">
        <v>0</v>
      </c>
      <c r="AV21" s="150">
        <f t="shared" si="2"/>
        <v>1</v>
      </c>
      <c r="AW21" s="150">
        <v>0</v>
      </c>
      <c r="AX21" s="150">
        <v>1</v>
      </c>
      <c r="AY21" s="150">
        <f t="shared" si="3"/>
        <v>1</v>
      </c>
      <c r="AZ21" s="150">
        <v>1</v>
      </c>
      <c r="BA21" s="150">
        <f t="shared" si="4"/>
        <v>0</v>
      </c>
      <c r="BB21" s="150">
        <v>0</v>
      </c>
      <c r="BC21" s="150">
        <f t="shared" si="5"/>
        <v>1</v>
      </c>
      <c r="BD21" s="151">
        <v>1</v>
      </c>
      <c r="BE21" s="150">
        <f t="shared" si="6"/>
        <v>0</v>
      </c>
      <c r="BF21" s="151">
        <v>0</v>
      </c>
      <c r="BG21" s="150">
        <v>0</v>
      </c>
      <c r="BH21" s="150">
        <f t="shared" ref="BH21" si="37">IF(OR(BI21=1),1,0)</f>
        <v>0</v>
      </c>
      <c r="BI21" s="151">
        <v>0</v>
      </c>
      <c r="BJ21" s="150">
        <f t="shared" ref="BJ21" si="38">IF(OR(BK21=1),1,0)</f>
        <v>0</v>
      </c>
      <c r="BK21" s="150">
        <v>0</v>
      </c>
      <c r="BL21" s="152">
        <v>1</v>
      </c>
      <c r="BM21" s="153" t="s">
        <v>1562</v>
      </c>
      <c r="BN21" s="153">
        <v>0</v>
      </c>
      <c r="BO21" s="153">
        <v>1</v>
      </c>
      <c r="BP21" s="162" t="s">
        <v>1553</v>
      </c>
    </row>
    <row r="22" spans="1:68" x14ac:dyDescent="0.2">
      <c r="A22" s="146" t="s">
        <v>1414</v>
      </c>
      <c r="B22" s="147" t="str">
        <f>Elevage!L20</f>
        <v>TROIS BASSINS/ SAINT PAUL</v>
      </c>
      <c r="C22" s="163">
        <f>Elevage!B20</f>
        <v>46114</v>
      </c>
      <c r="D22" s="147">
        <v>0</v>
      </c>
      <c r="E22" s="148">
        <v>0</v>
      </c>
      <c r="H22" s="150" t="s">
        <v>1493</v>
      </c>
      <c r="I22" s="150" t="s">
        <v>35</v>
      </c>
      <c r="U22" s="154">
        <v>0</v>
      </c>
      <c r="V22" s="154">
        <v>0</v>
      </c>
      <c r="W22" s="154">
        <v>0</v>
      </c>
      <c r="X22" s="154">
        <v>0</v>
      </c>
      <c r="Y22" s="154">
        <v>0</v>
      </c>
      <c r="Z22" s="154">
        <v>0</v>
      </c>
      <c r="AA22" s="154">
        <v>0</v>
      </c>
      <c r="AB22" s="154">
        <v>0</v>
      </c>
      <c r="AD22" s="156" t="s">
        <v>1496</v>
      </c>
      <c r="AH22" s="159" t="s">
        <v>1499</v>
      </c>
      <c r="AI22" s="160">
        <v>0</v>
      </c>
      <c r="AJ22" s="160">
        <v>0</v>
      </c>
      <c r="AK22" s="160">
        <v>0</v>
      </c>
      <c r="AL22" s="160">
        <v>0</v>
      </c>
      <c r="AM22" s="160">
        <v>0</v>
      </c>
      <c r="AN22" s="161">
        <v>0</v>
      </c>
      <c r="AO22" s="160">
        <v>0</v>
      </c>
      <c r="AQ22" s="167"/>
      <c r="AR22" s="150" t="s">
        <v>1503</v>
      </c>
      <c r="AS22" s="150">
        <f t="shared" si="1"/>
        <v>0</v>
      </c>
      <c r="AT22" s="150">
        <v>0</v>
      </c>
      <c r="AU22" s="150">
        <v>0</v>
      </c>
      <c r="AV22" s="150">
        <f t="shared" si="2"/>
        <v>0</v>
      </c>
      <c r="AW22" s="150">
        <v>0</v>
      </c>
      <c r="AX22" s="150">
        <v>0</v>
      </c>
      <c r="AY22" s="150">
        <f t="shared" si="3"/>
        <v>0</v>
      </c>
      <c r="AZ22" s="150">
        <v>0</v>
      </c>
      <c r="BA22" s="150">
        <f t="shared" si="4"/>
        <v>0</v>
      </c>
      <c r="BB22" s="150">
        <v>0</v>
      </c>
      <c r="BC22" s="150">
        <f t="shared" si="5"/>
        <v>0</v>
      </c>
      <c r="BD22" s="151">
        <v>0</v>
      </c>
      <c r="BE22" s="150">
        <f t="shared" si="6"/>
        <v>0</v>
      </c>
      <c r="BF22" s="151">
        <v>0</v>
      </c>
      <c r="BG22" s="150">
        <v>0</v>
      </c>
      <c r="BH22" s="150">
        <f t="shared" ref="BH22" si="39">IF(OR(BI22=1),1,0)</f>
        <v>0</v>
      </c>
      <c r="BI22" s="150">
        <v>0</v>
      </c>
      <c r="BJ22" s="150">
        <f t="shared" ref="BJ22" si="40">IF(OR(BK22=1),1,0)</f>
        <v>0</v>
      </c>
      <c r="BK22" s="150">
        <v>0</v>
      </c>
    </row>
    <row r="23" spans="1:68" x14ac:dyDescent="0.2">
      <c r="A23" s="146" t="s">
        <v>1415</v>
      </c>
      <c r="B23" s="147" t="str">
        <f>Elevage!L21</f>
        <v>TROIS BASSINS/ SAINT PAUL</v>
      </c>
      <c r="C23" s="163">
        <f>Elevage!B21</f>
        <v>46114</v>
      </c>
      <c r="D23" s="147">
        <v>0</v>
      </c>
      <c r="E23" s="148">
        <v>0</v>
      </c>
      <c r="F23" s="148">
        <v>25</v>
      </c>
      <c r="G23" s="149">
        <v>2</v>
      </c>
      <c r="H23" s="150" t="s">
        <v>1493</v>
      </c>
      <c r="I23" s="150" t="s">
        <v>35</v>
      </c>
      <c r="J23" s="150">
        <v>700</v>
      </c>
      <c r="K23" s="150">
        <v>97</v>
      </c>
      <c r="L23" s="150">
        <v>1</v>
      </c>
      <c r="M23" s="150">
        <v>7</v>
      </c>
      <c r="N23" s="150">
        <v>1992</v>
      </c>
      <c r="O23" s="151">
        <f t="shared" si="0"/>
        <v>34</v>
      </c>
      <c r="P23" s="152">
        <v>0</v>
      </c>
      <c r="Q23" s="153" t="s">
        <v>1492</v>
      </c>
      <c r="R23" s="153">
        <v>0</v>
      </c>
      <c r="S23" s="153">
        <v>0</v>
      </c>
      <c r="T23" s="154" t="s">
        <v>1492</v>
      </c>
      <c r="U23" s="154">
        <v>1</v>
      </c>
      <c r="V23" s="154">
        <v>0</v>
      </c>
      <c r="W23" s="154">
        <v>1</v>
      </c>
      <c r="X23" s="154">
        <v>0</v>
      </c>
      <c r="Y23" s="154">
        <v>0</v>
      </c>
      <c r="Z23" s="154">
        <v>0</v>
      </c>
      <c r="AA23" s="154">
        <v>0</v>
      </c>
      <c r="AB23" s="154">
        <v>0</v>
      </c>
      <c r="AC23" s="155" t="s">
        <v>1496</v>
      </c>
      <c r="AD23" s="156" t="s">
        <v>1514</v>
      </c>
      <c r="AE23" s="156">
        <v>45</v>
      </c>
      <c r="AF23" s="157">
        <v>1</v>
      </c>
      <c r="AG23" s="157" t="s">
        <v>1515</v>
      </c>
      <c r="AH23" s="159" t="s">
        <v>1499</v>
      </c>
      <c r="AI23" s="160">
        <v>0</v>
      </c>
      <c r="AJ23" s="160">
        <v>0</v>
      </c>
      <c r="AK23" s="160">
        <v>1</v>
      </c>
      <c r="AL23" s="160">
        <v>0</v>
      </c>
      <c r="AM23" s="160">
        <v>0</v>
      </c>
      <c r="AN23" s="161">
        <v>0</v>
      </c>
      <c r="AO23" s="160">
        <v>0</v>
      </c>
      <c r="AP23" s="149" t="s">
        <v>1501</v>
      </c>
      <c r="AQ23" s="167" t="s">
        <v>1545</v>
      </c>
      <c r="AR23" s="150" t="s">
        <v>1503</v>
      </c>
      <c r="AS23" s="150">
        <f t="shared" si="1"/>
        <v>1</v>
      </c>
      <c r="AT23" s="150">
        <v>1</v>
      </c>
      <c r="AU23" s="150">
        <v>1</v>
      </c>
      <c r="AV23" s="150">
        <f t="shared" si="2"/>
        <v>1</v>
      </c>
      <c r="AW23" s="150">
        <v>0</v>
      </c>
      <c r="AX23" s="150">
        <v>1</v>
      </c>
      <c r="AY23" s="150">
        <f t="shared" si="3"/>
        <v>0</v>
      </c>
      <c r="AZ23" s="150">
        <v>0</v>
      </c>
      <c r="BA23" s="150">
        <f t="shared" si="4"/>
        <v>0</v>
      </c>
      <c r="BB23" s="150">
        <v>0</v>
      </c>
      <c r="BC23" s="150">
        <f t="shared" si="5"/>
        <v>0</v>
      </c>
      <c r="BD23" s="151">
        <v>0</v>
      </c>
      <c r="BE23" s="150">
        <f t="shared" si="6"/>
        <v>0</v>
      </c>
      <c r="BF23" s="151">
        <v>0</v>
      </c>
      <c r="BG23" s="150">
        <v>0</v>
      </c>
      <c r="BH23" s="150">
        <f t="shared" ref="BH23" si="41">IF(OR(BI23=1),1,0)</f>
        <v>0</v>
      </c>
      <c r="BI23" s="150">
        <v>0</v>
      </c>
      <c r="BJ23" s="150">
        <f t="shared" ref="BJ23" si="42">IF(OR(BK23=1),1,0)</f>
        <v>0</v>
      </c>
      <c r="BK23" s="150">
        <v>0</v>
      </c>
      <c r="BL23" s="152">
        <v>1</v>
      </c>
      <c r="BM23" s="153" t="s">
        <v>1561</v>
      </c>
      <c r="BN23" s="153">
        <v>0</v>
      </c>
      <c r="BO23" s="153">
        <v>1</v>
      </c>
      <c r="BP23" s="162" t="s">
        <v>1589</v>
      </c>
    </row>
    <row r="24" spans="1:68" x14ac:dyDescent="0.2">
      <c r="A24" s="146" t="s">
        <v>1416</v>
      </c>
      <c r="B24" s="147" t="str">
        <f>Elevage!L22</f>
        <v>TROIS BASSINS/ SAINT PAUL</v>
      </c>
      <c r="C24" s="163">
        <f>Elevage!B22</f>
        <v>46114</v>
      </c>
      <c r="D24" s="147">
        <v>0</v>
      </c>
      <c r="E24" s="148">
        <v>0</v>
      </c>
      <c r="F24" s="148">
        <v>23</v>
      </c>
      <c r="G24" s="149">
        <v>1</v>
      </c>
      <c r="H24" s="150" t="s">
        <v>1493</v>
      </c>
      <c r="I24" s="150" t="s">
        <v>35</v>
      </c>
      <c r="J24" s="150">
        <v>500</v>
      </c>
      <c r="K24" s="150">
        <v>40</v>
      </c>
      <c r="L24" s="150">
        <v>1</v>
      </c>
      <c r="M24" s="150">
        <v>7</v>
      </c>
      <c r="N24" s="150">
        <v>2001</v>
      </c>
      <c r="O24" s="151">
        <f t="shared" si="0"/>
        <v>25</v>
      </c>
      <c r="P24" s="152">
        <v>0</v>
      </c>
      <c r="Q24" s="153" t="s">
        <v>1492</v>
      </c>
      <c r="R24" s="153">
        <v>1</v>
      </c>
      <c r="S24" s="153">
        <v>0</v>
      </c>
      <c r="T24" s="154" t="s">
        <v>1492</v>
      </c>
      <c r="U24" s="154">
        <v>0</v>
      </c>
      <c r="V24" s="154">
        <v>0</v>
      </c>
      <c r="W24" s="154">
        <v>0</v>
      </c>
      <c r="X24" s="154">
        <v>0</v>
      </c>
      <c r="Y24" s="154">
        <v>0</v>
      </c>
      <c r="Z24" s="154">
        <v>0</v>
      </c>
      <c r="AA24" s="154">
        <v>0</v>
      </c>
      <c r="AB24" s="154">
        <v>0</v>
      </c>
      <c r="AC24" s="155" t="s">
        <v>1496</v>
      </c>
      <c r="AD24" s="156" t="s">
        <v>1496</v>
      </c>
      <c r="AE24" s="156">
        <v>35</v>
      </c>
      <c r="AF24" s="157">
        <v>1</v>
      </c>
      <c r="AG24" s="158" t="s">
        <v>1517</v>
      </c>
      <c r="AH24" s="159" t="s">
        <v>1499</v>
      </c>
      <c r="AI24" s="160">
        <v>1</v>
      </c>
      <c r="AJ24" s="160">
        <v>1</v>
      </c>
      <c r="AK24" s="160">
        <v>0</v>
      </c>
      <c r="AL24" s="160">
        <v>1</v>
      </c>
      <c r="AM24" s="160">
        <v>0</v>
      </c>
      <c r="AN24" s="161">
        <v>0</v>
      </c>
      <c r="AO24" s="160">
        <v>0</v>
      </c>
      <c r="AP24" s="149" t="s">
        <v>1501</v>
      </c>
      <c r="AQ24" s="167" t="s">
        <v>1545</v>
      </c>
      <c r="AR24" s="150" t="s">
        <v>1503</v>
      </c>
      <c r="AS24" s="150">
        <f t="shared" si="1"/>
        <v>1</v>
      </c>
      <c r="AT24" s="150">
        <v>1</v>
      </c>
      <c r="AU24" s="150">
        <v>0</v>
      </c>
      <c r="AV24" s="150">
        <f t="shared" si="2"/>
        <v>0</v>
      </c>
      <c r="AW24" s="150">
        <v>0</v>
      </c>
      <c r="AX24" s="150">
        <v>0</v>
      </c>
      <c r="AY24" s="150">
        <f t="shared" si="3"/>
        <v>1</v>
      </c>
      <c r="AZ24" s="150">
        <v>1</v>
      </c>
      <c r="BA24" s="150">
        <f t="shared" si="4"/>
        <v>0</v>
      </c>
      <c r="BB24" s="150">
        <v>0</v>
      </c>
      <c r="BC24" s="150">
        <f t="shared" si="5"/>
        <v>1</v>
      </c>
      <c r="BD24" s="151">
        <v>1</v>
      </c>
      <c r="BE24" s="150">
        <f t="shared" si="6"/>
        <v>0</v>
      </c>
      <c r="BF24" s="151">
        <v>0</v>
      </c>
      <c r="BG24" s="150">
        <v>0</v>
      </c>
      <c r="BH24" s="150">
        <f t="shared" ref="BH24" si="43">IF(OR(BI24=1),1,0)</f>
        <v>0</v>
      </c>
      <c r="BI24" s="150">
        <v>0</v>
      </c>
      <c r="BJ24" s="150">
        <f t="shared" ref="BJ24" si="44">IF(OR(BK24=1),1,0)</f>
        <v>0</v>
      </c>
      <c r="BK24" s="150">
        <v>0</v>
      </c>
      <c r="BL24" s="152">
        <v>0</v>
      </c>
      <c r="BN24" s="153">
        <v>0</v>
      </c>
      <c r="BO24" s="153">
        <v>0</v>
      </c>
      <c r="BP24" s="162" t="s">
        <v>1530</v>
      </c>
    </row>
    <row r="25" spans="1:68" x14ac:dyDescent="0.2">
      <c r="A25" s="146" t="s">
        <v>1417</v>
      </c>
      <c r="B25" s="147" t="str">
        <f>Elevage!L23</f>
        <v>TROIS BASSINS/ SAINT PAUL</v>
      </c>
      <c r="C25" s="163">
        <f>Elevage!B23</f>
        <v>46120</v>
      </c>
      <c r="D25" s="147">
        <v>0</v>
      </c>
      <c r="E25" s="148">
        <v>0</v>
      </c>
      <c r="F25" s="148">
        <v>24</v>
      </c>
      <c r="G25" s="149">
        <v>1</v>
      </c>
      <c r="H25" s="150" t="s">
        <v>1493</v>
      </c>
      <c r="I25" s="150" t="s">
        <v>35</v>
      </c>
      <c r="J25" s="150">
        <v>450</v>
      </c>
      <c r="K25" s="150">
        <v>38</v>
      </c>
      <c r="L25" s="150">
        <v>1</v>
      </c>
      <c r="M25" s="150">
        <v>6</v>
      </c>
      <c r="N25" s="150">
        <v>1990</v>
      </c>
      <c r="O25" s="151">
        <f t="shared" si="0"/>
        <v>36</v>
      </c>
      <c r="P25" s="152">
        <v>0</v>
      </c>
      <c r="Q25" s="153" t="s">
        <v>1492</v>
      </c>
      <c r="R25" s="153">
        <v>1</v>
      </c>
      <c r="S25" s="153">
        <v>0</v>
      </c>
      <c r="T25" s="154" t="s">
        <v>1492</v>
      </c>
      <c r="U25" s="154">
        <v>1</v>
      </c>
      <c r="V25" s="154">
        <v>1</v>
      </c>
      <c r="W25" s="154">
        <v>0</v>
      </c>
      <c r="X25" s="154">
        <v>1</v>
      </c>
      <c r="Y25" s="154">
        <v>0</v>
      </c>
      <c r="Z25" s="154">
        <v>0</v>
      </c>
      <c r="AA25" s="154">
        <v>0</v>
      </c>
      <c r="AB25" s="154">
        <v>0</v>
      </c>
      <c r="AC25" s="155" t="s">
        <v>1495</v>
      </c>
      <c r="AD25" s="156" t="s">
        <v>1496</v>
      </c>
      <c r="AE25" s="156">
        <v>40</v>
      </c>
      <c r="AF25" s="157">
        <v>1</v>
      </c>
      <c r="AG25" s="158" t="s">
        <v>1517</v>
      </c>
      <c r="AH25" s="159" t="s">
        <v>1499</v>
      </c>
      <c r="AI25" s="160">
        <v>1</v>
      </c>
      <c r="AJ25" s="160">
        <v>1</v>
      </c>
      <c r="AK25" s="160">
        <v>0</v>
      </c>
      <c r="AL25" s="160">
        <v>0</v>
      </c>
      <c r="AM25" s="160">
        <v>0</v>
      </c>
      <c r="AN25" s="161">
        <v>1</v>
      </c>
      <c r="AO25" s="160">
        <v>0</v>
      </c>
      <c r="AP25" s="149" t="s">
        <v>1501</v>
      </c>
      <c r="AQ25" s="167" t="s">
        <v>1546</v>
      </c>
      <c r="AR25" s="150" t="s">
        <v>1503</v>
      </c>
      <c r="AS25" s="150">
        <f t="shared" si="1"/>
        <v>1</v>
      </c>
      <c r="AT25" s="150">
        <v>1</v>
      </c>
      <c r="AU25" s="150">
        <v>0</v>
      </c>
      <c r="AV25" s="150">
        <f t="shared" si="2"/>
        <v>0</v>
      </c>
      <c r="AW25" s="150">
        <v>0</v>
      </c>
      <c r="AX25" s="150">
        <v>0</v>
      </c>
      <c r="AY25" s="150">
        <f t="shared" si="3"/>
        <v>1</v>
      </c>
      <c r="AZ25" s="150">
        <v>1</v>
      </c>
      <c r="BA25" s="150">
        <f t="shared" si="4"/>
        <v>0</v>
      </c>
      <c r="BB25" s="150">
        <v>0</v>
      </c>
      <c r="BC25" s="150">
        <f t="shared" si="5"/>
        <v>0</v>
      </c>
      <c r="BD25" s="151">
        <v>0</v>
      </c>
      <c r="BE25" s="150">
        <f t="shared" si="6"/>
        <v>1</v>
      </c>
      <c r="BF25" s="151">
        <v>0</v>
      </c>
      <c r="BG25" s="150">
        <v>1</v>
      </c>
      <c r="BH25" s="150">
        <f t="shared" ref="BH25" si="45">IF(OR(BI25=1),1,0)</f>
        <v>0</v>
      </c>
      <c r="BI25" s="150">
        <v>0</v>
      </c>
      <c r="BJ25" s="150">
        <f t="shared" ref="BJ25" si="46">IF(OR(BK25=1),1,0)</f>
        <v>0</v>
      </c>
      <c r="BK25" s="150">
        <v>0</v>
      </c>
      <c r="BL25" s="152">
        <v>1</v>
      </c>
      <c r="BM25" s="153" t="s">
        <v>1561</v>
      </c>
      <c r="BN25" s="153">
        <v>0</v>
      </c>
      <c r="BO25" s="153">
        <v>0</v>
      </c>
      <c r="BP25" s="162" t="s">
        <v>1530</v>
      </c>
    </row>
    <row r="26" spans="1:68" x14ac:dyDescent="0.2">
      <c r="A26" s="146" t="s">
        <v>1418</v>
      </c>
      <c r="B26" s="147" t="str">
        <f>Elevage!L24</f>
        <v>PLAINE DES PALMISTES/ SAINTE ANNE</v>
      </c>
      <c r="C26" s="163">
        <f>Elevage!B24</f>
        <v>46121</v>
      </c>
      <c r="D26" s="147">
        <v>0</v>
      </c>
      <c r="E26" s="148">
        <v>0</v>
      </c>
      <c r="F26" s="148">
        <v>24</v>
      </c>
      <c r="G26" s="149">
        <v>2</v>
      </c>
      <c r="H26" s="150" t="s">
        <v>1493</v>
      </c>
      <c r="I26" s="150" t="s">
        <v>35</v>
      </c>
      <c r="J26" s="150">
        <v>450</v>
      </c>
      <c r="K26" s="150">
        <v>38</v>
      </c>
      <c r="L26" s="150">
        <v>1</v>
      </c>
      <c r="M26" s="150">
        <v>6</v>
      </c>
      <c r="N26" s="150">
        <v>1997</v>
      </c>
      <c r="O26" s="151">
        <f t="shared" si="0"/>
        <v>29</v>
      </c>
      <c r="P26" s="152">
        <v>0</v>
      </c>
      <c r="Q26" s="153" t="s">
        <v>1492</v>
      </c>
      <c r="R26" s="153">
        <v>0</v>
      </c>
      <c r="S26" s="153">
        <v>1</v>
      </c>
      <c r="T26" s="154" t="s">
        <v>1485</v>
      </c>
      <c r="U26" s="154">
        <v>0</v>
      </c>
      <c r="V26" s="154">
        <v>0</v>
      </c>
      <c r="W26" s="154">
        <v>0</v>
      </c>
      <c r="X26" s="154">
        <v>1</v>
      </c>
      <c r="Y26" s="154">
        <v>0</v>
      </c>
      <c r="Z26" s="154">
        <v>0</v>
      </c>
      <c r="AA26" s="154">
        <v>0</v>
      </c>
      <c r="AB26" s="154">
        <v>0</v>
      </c>
      <c r="AC26" s="155" t="s">
        <v>1496</v>
      </c>
      <c r="AD26" s="156" t="s">
        <v>1496</v>
      </c>
      <c r="AE26" s="156">
        <v>42</v>
      </c>
      <c r="AF26" s="157">
        <v>1</v>
      </c>
      <c r="AG26" s="157" t="s">
        <v>1563</v>
      </c>
      <c r="AH26" s="159" t="s">
        <v>1508</v>
      </c>
      <c r="AI26" s="160">
        <v>0</v>
      </c>
      <c r="AJ26" s="160">
        <v>1</v>
      </c>
      <c r="AK26" s="160">
        <v>1</v>
      </c>
      <c r="AL26" s="160">
        <v>1</v>
      </c>
      <c r="AM26" s="160">
        <v>0</v>
      </c>
      <c r="AN26" s="161">
        <v>0</v>
      </c>
      <c r="AO26" s="160">
        <v>0</v>
      </c>
      <c r="AP26" s="149" t="s">
        <v>1501</v>
      </c>
      <c r="AQ26" s="167" t="s">
        <v>1546</v>
      </c>
      <c r="AR26" s="150" t="s">
        <v>1503</v>
      </c>
      <c r="AS26" s="150">
        <f t="shared" si="1"/>
        <v>1</v>
      </c>
      <c r="AT26" s="150">
        <v>1</v>
      </c>
      <c r="AU26" s="150">
        <v>0</v>
      </c>
      <c r="AV26" s="150">
        <f t="shared" si="2"/>
        <v>1</v>
      </c>
      <c r="AW26" s="150">
        <v>1</v>
      </c>
      <c r="AX26" s="150">
        <v>0</v>
      </c>
      <c r="AY26" s="150">
        <f t="shared" si="3"/>
        <v>0</v>
      </c>
      <c r="AZ26" s="150">
        <v>0</v>
      </c>
      <c r="BA26" s="150">
        <f t="shared" si="4"/>
        <v>0</v>
      </c>
      <c r="BB26" s="150">
        <v>0</v>
      </c>
      <c r="BC26" s="150">
        <f t="shared" si="5"/>
        <v>0</v>
      </c>
      <c r="BD26" s="150">
        <v>0</v>
      </c>
      <c r="BE26" s="150">
        <f t="shared" si="6"/>
        <v>0</v>
      </c>
      <c r="BF26" s="151">
        <v>0</v>
      </c>
      <c r="BG26" s="150">
        <v>0</v>
      </c>
      <c r="BH26" s="150">
        <f t="shared" ref="BH26" si="47">IF(OR(BI26=1),1,0)</f>
        <v>0</v>
      </c>
      <c r="BI26" s="150">
        <v>0</v>
      </c>
      <c r="BJ26" s="150">
        <f t="shared" ref="BJ26" si="48">IF(OR(BK26=1),1,0)</f>
        <v>0</v>
      </c>
      <c r="BK26" s="150">
        <v>0</v>
      </c>
      <c r="BL26" s="152">
        <v>1</v>
      </c>
      <c r="BM26" s="153" t="s">
        <v>1619</v>
      </c>
      <c r="BN26" s="153">
        <v>1</v>
      </c>
      <c r="BO26" s="153">
        <v>1</v>
      </c>
      <c r="BP26" s="162" t="s">
        <v>1614</v>
      </c>
    </row>
    <row r="27" spans="1:68" x14ac:dyDescent="0.2">
      <c r="A27" s="146" t="s">
        <v>1419</v>
      </c>
      <c r="B27" s="147" t="str">
        <f>Elevage!L25</f>
        <v>PLAINE DES PALMISTES/ SAINTE ANNE</v>
      </c>
      <c r="C27" s="163">
        <f>Elevage!B25</f>
        <v>46121</v>
      </c>
      <c r="D27" s="147">
        <v>0</v>
      </c>
      <c r="E27" s="148">
        <v>0</v>
      </c>
      <c r="F27" s="148">
        <v>22</v>
      </c>
      <c r="G27" s="149">
        <v>3</v>
      </c>
      <c r="H27" s="150" t="s">
        <v>1493</v>
      </c>
      <c r="I27" s="150" t="s">
        <v>35</v>
      </c>
      <c r="J27" s="150">
        <v>400</v>
      </c>
      <c r="K27" s="150">
        <v>48</v>
      </c>
      <c r="L27" s="150">
        <v>2</v>
      </c>
      <c r="M27" s="150">
        <v>4</v>
      </c>
      <c r="N27" s="150">
        <v>2010</v>
      </c>
      <c r="O27" s="151">
        <f t="shared" si="0"/>
        <v>16</v>
      </c>
      <c r="P27" s="152">
        <v>0</v>
      </c>
      <c r="Q27" s="153" t="s">
        <v>1492</v>
      </c>
      <c r="R27" s="153">
        <v>0</v>
      </c>
      <c r="S27" s="153">
        <v>1</v>
      </c>
      <c r="T27" s="154" t="s">
        <v>1487</v>
      </c>
      <c r="U27" s="154">
        <v>0</v>
      </c>
      <c r="V27" s="154">
        <v>0</v>
      </c>
      <c r="W27" s="154">
        <v>1</v>
      </c>
      <c r="X27" s="154">
        <v>1</v>
      </c>
      <c r="Y27" s="154">
        <v>0</v>
      </c>
      <c r="Z27" s="154">
        <v>0</v>
      </c>
      <c r="AA27" s="154">
        <v>0</v>
      </c>
      <c r="AB27" s="154">
        <v>0</v>
      </c>
      <c r="AC27" s="155" t="s">
        <v>1496</v>
      </c>
      <c r="AD27" s="156" t="s">
        <v>1496</v>
      </c>
      <c r="AF27" s="157">
        <v>1</v>
      </c>
      <c r="AH27" s="159" t="s">
        <v>1508</v>
      </c>
      <c r="AI27" s="160">
        <v>0</v>
      </c>
      <c r="AJ27" s="160">
        <v>0</v>
      </c>
      <c r="AK27" s="160">
        <v>0</v>
      </c>
      <c r="AL27" s="160">
        <v>1</v>
      </c>
      <c r="AM27" s="160">
        <v>0</v>
      </c>
      <c r="AN27" s="161">
        <v>0</v>
      </c>
      <c r="AO27" s="160">
        <v>0</v>
      </c>
      <c r="AP27" s="149" t="s">
        <v>1501</v>
      </c>
      <c r="AQ27" s="167"/>
      <c r="AR27" s="150" t="s">
        <v>1503</v>
      </c>
      <c r="AS27" s="150">
        <f t="shared" si="1"/>
        <v>1</v>
      </c>
      <c r="AT27" s="150">
        <v>1</v>
      </c>
      <c r="AU27" s="150">
        <v>0</v>
      </c>
      <c r="AV27" s="150">
        <f t="shared" si="2"/>
        <v>1</v>
      </c>
      <c r="AW27" s="150">
        <v>0</v>
      </c>
      <c r="AX27" s="150">
        <v>1</v>
      </c>
      <c r="AY27" s="150">
        <f t="shared" si="3"/>
        <v>0</v>
      </c>
      <c r="AZ27" s="150">
        <v>0</v>
      </c>
      <c r="BA27" s="150">
        <f t="shared" si="4"/>
        <v>0</v>
      </c>
      <c r="BB27" s="150">
        <v>0</v>
      </c>
      <c r="BC27" s="150">
        <f t="shared" si="5"/>
        <v>0</v>
      </c>
      <c r="BD27" s="150">
        <v>0</v>
      </c>
      <c r="BE27" s="150">
        <f t="shared" si="6"/>
        <v>0</v>
      </c>
      <c r="BF27" s="151">
        <v>0</v>
      </c>
      <c r="BG27" s="150">
        <v>0</v>
      </c>
      <c r="BH27" s="150">
        <f t="shared" ref="BH27" si="49">IF(OR(BI27=1),1,0)</f>
        <v>0</v>
      </c>
      <c r="BI27" s="150">
        <v>0</v>
      </c>
      <c r="BJ27" s="150">
        <f t="shared" ref="BJ27" si="50">IF(OR(BK27=1),1,0)</f>
        <v>0</v>
      </c>
      <c r="BK27" s="150">
        <v>0</v>
      </c>
      <c r="BL27" s="152">
        <v>1</v>
      </c>
      <c r="BM27" s="153" t="s">
        <v>1564</v>
      </c>
      <c r="BN27" s="153">
        <v>1</v>
      </c>
      <c r="BO27" s="153">
        <v>1</v>
      </c>
      <c r="BP27" s="162" t="s">
        <v>1565</v>
      </c>
    </row>
    <row r="28" spans="1:68" x14ac:dyDescent="0.2">
      <c r="A28" s="146" t="s">
        <v>1420</v>
      </c>
      <c r="B28" s="147" t="str">
        <f>Elevage!L26</f>
        <v>PLAINE DES PALMISTES/ SAINTE ANNE</v>
      </c>
      <c r="C28" s="163">
        <f>Elevage!B26</f>
        <v>46121</v>
      </c>
      <c r="D28" s="147">
        <v>1</v>
      </c>
      <c r="E28" s="148">
        <v>0</v>
      </c>
      <c r="F28" s="148">
        <v>28</v>
      </c>
      <c r="G28" s="149">
        <v>1</v>
      </c>
      <c r="H28" s="150" t="s">
        <v>1493</v>
      </c>
      <c r="I28" s="150" t="s">
        <v>35</v>
      </c>
      <c r="J28" s="150">
        <v>375</v>
      </c>
      <c r="K28" s="150">
        <v>32</v>
      </c>
      <c r="L28" s="150">
        <v>1</v>
      </c>
      <c r="M28" s="150">
        <v>5</v>
      </c>
      <c r="N28" s="150">
        <v>2015</v>
      </c>
      <c r="O28" s="151">
        <f t="shared" si="0"/>
        <v>11</v>
      </c>
      <c r="P28" s="152">
        <v>1</v>
      </c>
      <c r="Q28" s="153" t="s">
        <v>1566</v>
      </c>
      <c r="R28" s="153">
        <v>0</v>
      </c>
      <c r="S28" s="153">
        <v>0</v>
      </c>
      <c r="T28" s="154" t="s">
        <v>1492</v>
      </c>
      <c r="U28" s="154">
        <v>0</v>
      </c>
      <c r="V28" s="154">
        <v>0</v>
      </c>
      <c r="W28" s="154">
        <v>1</v>
      </c>
      <c r="X28" s="154">
        <v>1</v>
      </c>
      <c r="Y28" s="154">
        <v>0</v>
      </c>
      <c r="Z28" s="154">
        <v>0</v>
      </c>
      <c r="AA28" s="154">
        <v>0</v>
      </c>
      <c r="AB28" s="154">
        <v>0</v>
      </c>
      <c r="AC28" s="155" t="s">
        <v>1514</v>
      </c>
      <c r="AD28" s="156" t="s">
        <v>1496</v>
      </c>
      <c r="AE28" s="156">
        <v>40</v>
      </c>
      <c r="AF28" s="157">
        <v>1</v>
      </c>
      <c r="AG28" s="158" t="s">
        <v>1563</v>
      </c>
      <c r="AH28" s="159" t="s">
        <v>1499</v>
      </c>
      <c r="AI28" s="160">
        <v>1</v>
      </c>
      <c r="AJ28" s="160">
        <v>1</v>
      </c>
      <c r="AK28" s="160">
        <v>1</v>
      </c>
      <c r="AL28" s="160">
        <v>1</v>
      </c>
      <c r="AM28" s="160">
        <v>1</v>
      </c>
      <c r="AN28" s="161">
        <v>0</v>
      </c>
      <c r="AO28" s="160">
        <v>0</v>
      </c>
      <c r="AP28" s="149" t="s">
        <v>1513</v>
      </c>
      <c r="AQ28" s="167" t="s">
        <v>1544</v>
      </c>
      <c r="AR28" s="150" t="s">
        <v>1503</v>
      </c>
      <c r="AS28" s="150">
        <f t="shared" si="1"/>
        <v>1</v>
      </c>
      <c r="AT28" s="150">
        <v>1</v>
      </c>
      <c r="AU28" s="150">
        <v>0</v>
      </c>
      <c r="AV28" s="150">
        <f t="shared" si="2"/>
        <v>1</v>
      </c>
      <c r="AW28" s="150">
        <v>0</v>
      </c>
      <c r="AX28" s="150">
        <v>1</v>
      </c>
      <c r="AY28" s="150">
        <f>IF(OR(AZ28=1),1,0)</f>
        <v>1</v>
      </c>
      <c r="AZ28" s="150">
        <v>1</v>
      </c>
      <c r="BA28" s="150">
        <f t="shared" si="4"/>
        <v>0</v>
      </c>
      <c r="BB28" s="150">
        <v>0</v>
      </c>
      <c r="BC28" s="150">
        <f t="shared" si="5"/>
        <v>0</v>
      </c>
      <c r="BD28" s="150">
        <v>0</v>
      </c>
      <c r="BE28" s="150">
        <f t="shared" si="6"/>
        <v>1</v>
      </c>
      <c r="BF28" s="151">
        <v>0</v>
      </c>
      <c r="BG28" s="150">
        <v>1</v>
      </c>
      <c r="BH28" s="150">
        <f t="shared" ref="BH28" si="51">IF(OR(BI28=1),1,0)</f>
        <v>0</v>
      </c>
      <c r="BI28" s="150">
        <v>0</v>
      </c>
      <c r="BJ28" s="150">
        <f t="shared" ref="BJ28" si="52">IF(OR(BK28=1),1,0)</f>
        <v>0</v>
      </c>
      <c r="BK28" s="150">
        <v>0</v>
      </c>
      <c r="BL28" s="152">
        <v>1</v>
      </c>
      <c r="BM28" s="153" t="s">
        <v>1567</v>
      </c>
      <c r="BN28" s="153">
        <v>0</v>
      </c>
      <c r="BO28" s="153">
        <v>1</v>
      </c>
      <c r="BP28" s="162" t="s">
        <v>1553</v>
      </c>
    </row>
    <row r="29" spans="1:68" x14ac:dyDescent="0.2">
      <c r="A29" s="146" t="s">
        <v>1421</v>
      </c>
      <c r="B29" s="147" t="str">
        <f>Elevage!L27</f>
        <v>PLAINE DES PALMISTES/ SAINTE ANNE</v>
      </c>
      <c r="C29" s="163">
        <f>Elevage!B27</f>
        <v>46121</v>
      </c>
      <c r="D29" s="147">
        <v>0</v>
      </c>
      <c r="E29" s="148">
        <v>0</v>
      </c>
      <c r="F29" s="148">
        <v>29</v>
      </c>
      <c r="G29" s="149">
        <v>1</v>
      </c>
      <c r="H29" s="150" t="s">
        <v>1505</v>
      </c>
      <c r="I29" s="150" t="s">
        <v>35</v>
      </c>
      <c r="J29" s="150">
        <v>550</v>
      </c>
      <c r="K29" s="150">
        <v>51</v>
      </c>
      <c r="L29" s="150">
        <v>1</v>
      </c>
      <c r="M29" s="150">
        <v>7</v>
      </c>
      <c r="N29" s="150">
        <v>2004</v>
      </c>
      <c r="O29" s="151">
        <f t="shared" si="0"/>
        <v>22</v>
      </c>
      <c r="P29" s="152">
        <v>1</v>
      </c>
      <c r="Q29" s="153" t="s">
        <v>1566</v>
      </c>
      <c r="R29" s="153">
        <v>0</v>
      </c>
      <c r="S29" s="153">
        <v>0</v>
      </c>
      <c r="T29" s="154" t="s">
        <v>1492</v>
      </c>
      <c r="U29" s="154">
        <v>0</v>
      </c>
      <c r="V29" s="154">
        <v>0</v>
      </c>
      <c r="W29" s="154">
        <v>0</v>
      </c>
      <c r="X29" s="154">
        <v>1</v>
      </c>
      <c r="Y29" s="154">
        <v>0</v>
      </c>
      <c r="Z29" s="154">
        <v>0</v>
      </c>
      <c r="AA29" s="154">
        <v>0</v>
      </c>
      <c r="AB29" s="154">
        <v>0</v>
      </c>
      <c r="AC29" s="155" t="s">
        <v>1496</v>
      </c>
      <c r="AD29" s="156" t="s">
        <v>1496</v>
      </c>
      <c r="AE29" s="156">
        <v>42</v>
      </c>
      <c r="AF29" s="157">
        <v>1</v>
      </c>
      <c r="AG29" s="158" t="s">
        <v>1604</v>
      </c>
      <c r="AH29" s="159" t="s">
        <v>1499</v>
      </c>
      <c r="AI29" s="160">
        <v>1</v>
      </c>
      <c r="AJ29" s="160">
        <v>1</v>
      </c>
      <c r="AK29" s="160">
        <v>0</v>
      </c>
      <c r="AL29" s="160">
        <v>1</v>
      </c>
      <c r="AM29" s="160">
        <v>0</v>
      </c>
      <c r="AN29" s="161">
        <v>0</v>
      </c>
      <c r="AO29" s="160">
        <v>0</v>
      </c>
      <c r="AP29" s="149" t="s">
        <v>1568</v>
      </c>
      <c r="AQ29" s="167" t="s">
        <v>1546</v>
      </c>
      <c r="AR29" s="150" t="s">
        <v>1503</v>
      </c>
      <c r="AS29" s="150">
        <f t="shared" si="1"/>
        <v>1</v>
      </c>
      <c r="AT29" s="150">
        <v>1</v>
      </c>
      <c r="AU29" s="150">
        <v>1</v>
      </c>
      <c r="AV29" s="150">
        <f t="shared" si="2"/>
        <v>1</v>
      </c>
      <c r="AW29" s="150">
        <v>0</v>
      </c>
      <c r="AX29" s="150">
        <v>1</v>
      </c>
      <c r="AY29" s="150">
        <f t="shared" si="3"/>
        <v>0</v>
      </c>
      <c r="AZ29" s="150">
        <v>0</v>
      </c>
      <c r="BA29" s="150">
        <f t="shared" si="4"/>
        <v>0</v>
      </c>
      <c r="BB29" s="150">
        <v>0</v>
      </c>
      <c r="BC29" s="150">
        <f t="shared" si="5"/>
        <v>0</v>
      </c>
      <c r="BD29" s="150">
        <v>0</v>
      </c>
      <c r="BE29" s="150">
        <f t="shared" si="6"/>
        <v>0</v>
      </c>
      <c r="BF29" s="151">
        <v>0</v>
      </c>
      <c r="BG29" s="150">
        <v>0</v>
      </c>
      <c r="BH29" s="150">
        <f t="shared" ref="BH29" si="53">IF(OR(BI29=1),1,0)</f>
        <v>0</v>
      </c>
      <c r="BI29" s="150">
        <v>0</v>
      </c>
      <c r="BJ29" s="150">
        <f t="shared" ref="BJ29" si="54">IF(OR(BK29=1),1,0)</f>
        <v>0</v>
      </c>
      <c r="BK29" s="150">
        <v>0</v>
      </c>
      <c r="BL29" s="152">
        <v>1</v>
      </c>
      <c r="BM29" s="153" t="s">
        <v>1569</v>
      </c>
      <c r="BN29" s="153">
        <v>1</v>
      </c>
      <c r="BO29" s="153">
        <v>0</v>
      </c>
      <c r="BP29" s="162" t="s">
        <v>1530</v>
      </c>
    </row>
    <row r="30" spans="1:68" x14ac:dyDescent="0.2">
      <c r="A30" s="146" t="s">
        <v>1422</v>
      </c>
      <c r="B30" s="147" t="str">
        <f>Elevage!L28</f>
        <v>SAINT ANDRE / SAINT BENOIT</v>
      </c>
      <c r="C30" s="163">
        <f>Elevage!B28</f>
        <v>46122</v>
      </c>
      <c r="D30" s="147">
        <v>0</v>
      </c>
      <c r="E30" s="148">
        <v>0</v>
      </c>
      <c r="F30" s="148">
        <v>24</v>
      </c>
      <c r="G30" s="149">
        <v>3</v>
      </c>
      <c r="H30" s="150" t="s">
        <v>1493</v>
      </c>
      <c r="I30" s="150" t="s">
        <v>35</v>
      </c>
      <c r="J30" s="150">
        <v>500</v>
      </c>
      <c r="K30" s="150">
        <v>45</v>
      </c>
      <c r="L30" s="150">
        <v>1</v>
      </c>
      <c r="M30" s="150">
        <v>7</v>
      </c>
      <c r="N30" s="150">
        <v>2018</v>
      </c>
      <c r="O30" s="151">
        <f t="shared" si="0"/>
        <v>8</v>
      </c>
      <c r="P30" s="152">
        <v>0</v>
      </c>
      <c r="Q30" s="153" t="s">
        <v>1492</v>
      </c>
      <c r="R30" s="153">
        <v>0</v>
      </c>
      <c r="S30" s="153">
        <v>0</v>
      </c>
      <c r="T30" s="154" t="s">
        <v>1492</v>
      </c>
      <c r="U30" s="154">
        <v>0</v>
      </c>
      <c r="V30" s="154">
        <v>0</v>
      </c>
      <c r="W30" s="154">
        <v>0</v>
      </c>
      <c r="X30" s="154">
        <v>1</v>
      </c>
      <c r="Y30" s="154">
        <v>0</v>
      </c>
      <c r="Z30" s="154">
        <v>0</v>
      </c>
      <c r="AA30" s="154">
        <v>0</v>
      </c>
      <c r="AB30" s="154">
        <v>0</v>
      </c>
      <c r="AC30" s="155" t="s">
        <v>1496</v>
      </c>
      <c r="AD30" s="156" t="s">
        <v>1495</v>
      </c>
      <c r="AE30" s="156">
        <v>40</v>
      </c>
      <c r="AF30" s="157">
        <v>1</v>
      </c>
      <c r="AG30" s="158" t="s">
        <v>1604</v>
      </c>
      <c r="AH30" s="159" t="s">
        <v>1499</v>
      </c>
      <c r="AI30" s="160">
        <v>1</v>
      </c>
      <c r="AJ30" s="160">
        <v>0</v>
      </c>
      <c r="AK30" s="160">
        <v>0</v>
      </c>
      <c r="AL30" s="160">
        <v>1</v>
      </c>
      <c r="AM30" s="160">
        <v>0</v>
      </c>
      <c r="AN30" s="161">
        <v>0</v>
      </c>
      <c r="AO30" s="160">
        <v>1</v>
      </c>
      <c r="AP30" s="149" t="s">
        <v>1501</v>
      </c>
      <c r="AQ30" s="167" t="s">
        <v>1544</v>
      </c>
      <c r="AR30" s="150" t="s">
        <v>1503</v>
      </c>
      <c r="AS30" s="150">
        <f t="shared" si="1"/>
        <v>1</v>
      </c>
      <c r="AT30" s="150">
        <v>1</v>
      </c>
      <c r="AU30" s="150">
        <v>0</v>
      </c>
      <c r="AV30" s="150">
        <f t="shared" si="2"/>
        <v>1</v>
      </c>
      <c r="AW30" s="150">
        <v>0</v>
      </c>
      <c r="AX30" s="150">
        <v>1</v>
      </c>
      <c r="AY30" s="150">
        <f t="shared" si="3"/>
        <v>0</v>
      </c>
      <c r="AZ30" s="150">
        <v>0</v>
      </c>
      <c r="BA30" s="150">
        <f t="shared" si="4"/>
        <v>0</v>
      </c>
      <c r="BB30" s="150">
        <v>0</v>
      </c>
      <c r="BC30" s="150">
        <f t="shared" si="5"/>
        <v>0</v>
      </c>
      <c r="BD30" s="150">
        <v>0</v>
      </c>
      <c r="BE30" s="150">
        <f t="shared" si="6"/>
        <v>1</v>
      </c>
      <c r="BF30" s="151">
        <v>1</v>
      </c>
      <c r="BG30" s="150">
        <v>0</v>
      </c>
      <c r="BH30" s="150">
        <f t="shared" ref="BH30" si="55">IF(OR(BI30=1),1,0)</f>
        <v>0</v>
      </c>
      <c r="BI30" s="150">
        <v>0</v>
      </c>
      <c r="BJ30" s="150">
        <f t="shared" ref="BJ30" si="56">IF(OR(BK30=1),1,0)</f>
        <v>0</v>
      </c>
      <c r="BK30" s="150">
        <v>0</v>
      </c>
      <c r="BL30" s="152">
        <v>1</v>
      </c>
      <c r="BM30" s="153" t="s">
        <v>1591</v>
      </c>
      <c r="BN30" s="153">
        <v>1</v>
      </c>
      <c r="BO30" s="153">
        <v>1</v>
      </c>
      <c r="BP30" s="162" t="s">
        <v>1553</v>
      </c>
    </row>
    <row r="31" spans="1:68" x14ac:dyDescent="0.2">
      <c r="A31" s="147" t="s">
        <v>1423</v>
      </c>
      <c r="B31" s="147" t="str">
        <f>Elevage!L29</f>
        <v>SAINT ANDRE / SAINT BENOIT</v>
      </c>
      <c r="C31" s="163">
        <f>Elevage!B29</f>
        <v>46122</v>
      </c>
      <c r="D31" s="147">
        <v>0</v>
      </c>
      <c r="E31" s="147">
        <v>0</v>
      </c>
      <c r="F31" s="147"/>
      <c r="G31" s="168"/>
      <c r="H31" s="150" t="s">
        <v>1493</v>
      </c>
      <c r="I31" s="150" t="s">
        <v>35</v>
      </c>
      <c r="P31" s="153"/>
      <c r="T31" s="153"/>
      <c r="U31" s="153">
        <v>0</v>
      </c>
      <c r="V31" s="153">
        <v>0</v>
      </c>
      <c r="W31" s="153">
        <v>0</v>
      </c>
      <c r="X31" s="153">
        <v>0</v>
      </c>
      <c r="Y31" s="153">
        <v>0</v>
      </c>
      <c r="Z31" s="153">
        <v>0</v>
      </c>
      <c r="AA31" s="153">
        <v>0</v>
      </c>
      <c r="AB31" s="154">
        <v>0</v>
      </c>
      <c r="AC31" s="156"/>
      <c r="AD31" s="156" t="s">
        <v>1496</v>
      </c>
      <c r="AF31" s="173"/>
      <c r="AH31" s="159" t="s">
        <v>1499</v>
      </c>
      <c r="AI31" s="160">
        <v>0</v>
      </c>
      <c r="AJ31" s="160">
        <v>0</v>
      </c>
      <c r="AK31" s="160">
        <v>0</v>
      </c>
      <c r="AL31" s="160">
        <v>0</v>
      </c>
      <c r="AM31" s="160">
        <v>0</v>
      </c>
      <c r="AN31" s="161">
        <v>0</v>
      </c>
      <c r="AO31" s="160">
        <v>0</v>
      </c>
      <c r="AQ31" s="167"/>
      <c r="AR31" s="150" t="s">
        <v>1503</v>
      </c>
      <c r="AS31" s="150">
        <f t="shared" si="1"/>
        <v>0</v>
      </c>
      <c r="AT31" s="150">
        <v>0</v>
      </c>
      <c r="AU31" s="150">
        <v>0</v>
      </c>
      <c r="AV31" s="150">
        <f t="shared" si="2"/>
        <v>0</v>
      </c>
      <c r="AW31" s="150">
        <v>0</v>
      </c>
      <c r="AX31" s="150">
        <v>0</v>
      </c>
      <c r="AY31" s="150">
        <f t="shared" si="3"/>
        <v>0</v>
      </c>
      <c r="AZ31" s="150">
        <v>0</v>
      </c>
      <c r="BA31" s="150">
        <f t="shared" si="4"/>
        <v>0</v>
      </c>
      <c r="BB31" s="150">
        <v>0</v>
      </c>
      <c r="BC31" s="150">
        <f t="shared" si="5"/>
        <v>0</v>
      </c>
      <c r="BD31" s="150">
        <v>0</v>
      </c>
      <c r="BE31" s="150">
        <f t="shared" si="6"/>
        <v>0</v>
      </c>
      <c r="BF31" s="151">
        <v>0</v>
      </c>
      <c r="BG31" s="150">
        <v>0</v>
      </c>
      <c r="BH31" s="150">
        <f t="shared" ref="BH31" si="57">IF(OR(BI31=1),1,0)</f>
        <v>0</v>
      </c>
      <c r="BI31" s="150">
        <v>0</v>
      </c>
      <c r="BJ31" s="150">
        <f t="shared" ref="BJ31" si="58">IF(OR(BK31=1),1,0)</f>
        <v>0</v>
      </c>
      <c r="BK31" s="150">
        <v>0</v>
      </c>
    </row>
    <row r="32" spans="1:68" x14ac:dyDescent="0.2">
      <c r="A32" s="147" t="s">
        <v>1424</v>
      </c>
      <c r="B32" s="147" t="str">
        <f>Elevage!L30</f>
        <v>SAINT ANDRE / SAINT BENOIT</v>
      </c>
      <c r="C32" s="163">
        <f>Elevage!B30</f>
        <v>46122</v>
      </c>
      <c r="D32" s="147">
        <v>1</v>
      </c>
      <c r="E32" s="147">
        <v>0</v>
      </c>
      <c r="F32" s="147"/>
      <c r="G32" s="168">
        <v>2</v>
      </c>
      <c r="H32" s="150" t="s">
        <v>1493</v>
      </c>
      <c r="I32" s="150" t="s">
        <v>35</v>
      </c>
      <c r="J32" s="150">
        <v>700</v>
      </c>
      <c r="K32" s="150">
        <v>56</v>
      </c>
      <c r="L32" s="150">
        <v>1</v>
      </c>
      <c r="M32" s="150">
        <v>7</v>
      </c>
      <c r="N32" s="150">
        <v>1989</v>
      </c>
      <c r="O32" s="151">
        <f t="shared" si="0"/>
        <v>37</v>
      </c>
      <c r="P32" s="153">
        <v>0</v>
      </c>
      <c r="Q32" s="153" t="s">
        <v>1557</v>
      </c>
      <c r="R32" s="153">
        <v>1</v>
      </c>
      <c r="S32" s="153">
        <v>0</v>
      </c>
      <c r="T32" s="153" t="s">
        <v>1492</v>
      </c>
      <c r="U32" s="153">
        <v>0</v>
      </c>
      <c r="V32" s="153">
        <v>0</v>
      </c>
      <c r="W32" s="153">
        <v>1</v>
      </c>
      <c r="X32" s="153">
        <v>0</v>
      </c>
      <c r="Y32" s="153">
        <v>0</v>
      </c>
      <c r="Z32" s="153">
        <v>0</v>
      </c>
      <c r="AA32" s="153">
        <v>0</v>
      </c>
      <c r="AB32" s="154">
        <v>0</v>
      </c>
      <c r="AC32" s="156" t="s">
        <v>1496</v>
      </c>
      <c r="AD32" s="156" t="s">
        <v>1496</v>
      </c>
      <c r="AE32" s="171">
        <v>56</v>
      </c>
      <c r="AF32" s="158">
        <v>1</v>
      </c>
      <c r="AG32" s="158" t="s">
        <v>1604</v>
      </c>
      <c r="AH32" s="160" t="s">
        <v>1499</v>
      </c>
      <c r="AI32" s="160">
        <v>1</v>
      </c>
      <c r="AJ32" s="160">
        <v>1</v>
      </c>
      <c r="AK32" s="160">
        <v>1</v>
      </c>
      <c r="AL32" s="160">
        <v>0</v>
      </c>
      <c r="AM32" s="160">
        <v>0</v>
      </c>
      <c r="AN32" s="160">
        <v>0</v>
      </c>
      <c r="AO32" s="160">
        <v>0</v>
      </c>
      <c r="AP32" s="150" t="s">
        <v>1501</v>
      </c>
      <c r="AQ32" s="167" t="s">
        <v>1544</v>
      </c>
      <c r="AR32" s="150" t="s">
        <v>1503</v>
      </c>
      <c r="AS32" s="168">
        <f t="shared" si="1"/>
        <v>1</v>
      </c>
      <c r="AT32" s="150">
        <v>1</v>
      </c>
      <c r="AU32" s="150">
        <v>0</v>
      </c>
      <c r="AV32" s="150">
        <f t="shared" si="2"/>
        <v>1</v>
      </c>
      <c r="AW32" s="150">
        <v>0</v>
      </c>
      <c r="AX32" s="150">
        <v>1</v>
      </c>
      <c r="AY32" s="150">
        <f t="shared" si="3"/>
        <v>1</v>
      </c>
      <c r="AZ32" s="150">
        <v>1</v>
      </c>
      <c r="BA32" s="150">
        <f t="shared" si="4"/>
        <v>0</v>
      </c>
      <c r="BB32" s="150">
        <v>0</v>
      </c>
      <c r="BC32" s="150">
        <f t="shared" si="5"/>
        <v>0</v>
      </c>
      <c r="BD32" s="150">
        <v>0</v>
      </c>
      <c r="BE32" s="150">
        <f t="shared" si="6"/>
        <v>1</v>
      </c>
      <c r="BF32" s="151">
        <v>0</v>
      </c>
      <c r="BG32" s="150">
        <v>1</v>
      </c>
      <c r="BH32" s="150">
        <f t="shared" ref="BH32" si="59">IF(OR(BI32=1),1,0)</f>
        <v>0</v>
      </c>
      <c r="BI32" s="150">
        <v>0</v>
      </c>
      <c r="BJ32" s="150">
        <f t="shared" ref="BJ32" si="60">IF(OR(BK32=1),1,0)</f>
        <v>0</v>
      </c>
      <c r="BK32" s="150">
        <v>0</v>
      </c>
      <c r="BL32" s="152">
        <v>1</v>
      </c>
      <c r="BM32" s="153" t="s">
        <v>1552</v>
      </c>
      <c r="BN32" s="153">
        <v>1</v>
      </c>
      <c r="BO32" s="153">
        <v>0</v>
      </c>
      <c r="BP32" s="162" t="s">
        <v>1553</v>
      </c>
    </row>
    <row r="33" spans="1:68" x14ac:dyDescent="0.2">
      <c r="A33" s="147" t="s">
        <v>1425</v>
      </c>
      <c r="B33" s="147" t="str">
        <f>Elevage!L31</f>
        <v>SAINT ANDRE / SAINT BENOIT</v>
      </c>
      <c r="C33" s="163">
        <f>Elevage!B31</f>
        <v>46122</v>
      </c>
      <c r="D33" s="147">
        <v>1</v>
      </c>
      <c r="E33" s="147">
        <v>1</v>
      </c>
      <c r="F33" s="147">
        <v>22</v>
      </c>
      <c r="G33" s="150">
        <v>1</v>
      </c>
      <c r="H33" s="150" t="s">
        <v>1505</v>
      </c>
      <c r="I33" s="150" t="s">
        <v>35</v>
      </c>
      <c r="J33" s="150">
        <v>180</v>
      </c>
      <c r="K33" s="150">
        <v>26</v>
      </c>
      <c r="L33" s="150">
        <v>2</v>
      </c>
      <c r="M33" s="150">
        <v>1</v>
      </c>
      <c r="N33" s="150">
        <v>1986</v>
      </c>
      <c r="O33" s="151">
        <f t="shared" si="0"/>
        <v>40</v>
      </c>
      <c r="P33" s="153">
        <v>0</v>
      </c>
      <c r="Q33" s="153" t="s">
        <v>1492</v>
      </c>
      <c r="R33" s="153">
        <v>0</v>
      </c>
      <c r="S33" s="153">
        <v>0</v>
      </c>
      <c r="T33" s="153" t="s">
        <v>1492</v>
      </c>
      <c r="U33" s="153">
        <v>0</v>
      </c>
      <c r="V33" s="153">
        <v>0</v>
      </c>
      <c r="W33" s="153">
        <v>0</v>
      </c>
      <c r="X33" s="153">
        <v>0</v>
      </c>
      <c r="Y33" s="153">
        <v>0</v>
      </c>
      <c r="Z33" s="153">
        <v>0</v>
      </c>
      <c r="AA33" s="153">
        <v>0</v>
      </c>
      <c r="AB33" s="154">
        <v>0</v>
      </c>
      <c r="AC33" s="156" t="s">
        <v>1514</v>
      </c>
      <c r="AD33" s="156" t="s">
        <v>1496</v>
      </c>
      <c r="AE33" s="171"/>
      <c r="AF33" s="158"/>
      <c r="AH33" s="160" t="s">
        <v>1499</v>
      </c>
      <c r="AI33" s="160">
        <v>1</v>
      </c>
      <c r="AJ33" s="160">
        <v>0</v>
      </c>
      <c r="AK33" s="160">
        <v>1</v>
      </c>
      <c r="AL33" s="160">
        <v>0</v>
      </c>
      <c r="AM33" s="160">
        <v>0</v>
      </c>
      <c r="AN33" s="160">
        <v>0</v>
      </c>
      <c r="AO33" s="161">
        <v>0</v>
      </c>
      <c r="AP33" s="150" t="s">
        <v>1501</v>
      </c>
      <c r="AQ33" s="167" t="s">
        <v>1545</v>
      </c>
      <c r="AR33" s="150" t="s">
        <v>1503</v>
      </c>
      <c r="AS33" s="150">
        <f t="shared" si="1"/>
        <v>1</v>
      </c>
      <c r="AT33" s="150">
        <v>1</v>
      </c>
      <c r="AU33" s="150">
        <v>0</v>
      </c>
      <c r="AV33" s="150">
        <f t="shared" si="2"/>
        <v>0</v>
      </c>
      <c r="AW33" s="150">
        <v>0</v>
      </c>
      <c r="AX33" s="150">
        <v>0</v>
      </c>
      <c r="AY33" s="150">
        <f t="shared" si="3"/>
        <v>0</v>
      </c>
      <c r="AZ33" s="150">
        <v>0</v>
      </c>
      <c r="BA33" s="150">
        <f t="shared" si="4"/>
        <v>0</v>
      </c>
      <c r="BB33" s="150">
        <v>0</v>
      </c>
      <c r="BC33" s="150">
        <f t="shared" si="5"/>
        <v>0</v>
      </c>
      <c r="BD33" s="150">
        <v>0</v>
      </c>
      <c r="BE33" s="150">
        <f t="shared" si="6"/>
        <v>0</v>
      </c>
      <c r="BF33" s="150">
        <v>0</v>
      </c>
      <c r="BG33" s="150">
        <v>0</v>
      </c>
      <c r="BH33" s="150">
        <f t="shared" ref="BH33" si="61">IF(OR(BI33=1),1,0)</f>
        <v>0</v>
      </c>
      <c r="BI33" s="150">
        <v>0</v>
      </c>
      <c r="BJ33" s="150">
        <f t="shared" ref="BJ33" si="62">IF(OR(BK33=1),1,0)</f>
        <v>0</v>
      </c>
      <c r="BK33" s="150">
        <v>0</v>
      </c>
      <c r="BL33" s="153">
        <v>1</v>
      </c>
      <c r="BM33" s="153" t="s">
        <v>1574</v>
      </c>
      <c r="BN33" s="153">
        <v>0</v>
      </c>
      <c r="BO33" s="153">
        <v>1</v>
      </c>
      <c r="BP33" s="153" t="s">
        <v>1621</v>
      </c>
    </row>
    <row r="34" spans="1:68" x14ac:dyDescent="0.2">
      <c r="A34" s="179" t="s">
        <v>1426</v>
      </c>
      <c r="B34" s="179" t="s">
        <v>156</v>
      </c>
      <c r="C34" s="180">
        <v>46122</v>
      </c>
      <c r="D34" s="179">
        <v>0</v>
      </c>
      <c r="E34" s="179">
        <v>0</v>
      </c>
      <c r="F34" s="179">
        <v>28</v>
      </c>
      <c r="G34" s="170">
        <v>2</v>
      </c>
      <c r="H34" s="170" t="s">
        <v>1493</v>
      </c>
      <c r="I34" s="170" t="s">
        <v>35</v>
      </c>
      <c r="J34" s="170">
        <v>475</v>
      </c>
      <c r="K34" s="170">
        <v>38</v>
      </c>
      <c r="L34" s="170">
        <v>2</v>
      </c>
      <c r="M34" s="170">
        <v>7</v>
      </c>
      <c r="N34" s="170">
        <v>2020</v>
      </c>
      <c r="O34" s="172">
        <v>6</v>
      </c>
      <c r="P34" s="175">
        <v>1</v>
      </c>
      <c r="Q34" s="175" t="s">
        <v>1570</v>
      </c>
      <c r="R34" s="175">
        <v>0</v>
      </c>
      <c r="S34" s="175">
        <v>0</v>
      </c>
      <c r="T34" s="175" t="s">
        <v>1492</v>
      </c>
      <c r="U34" s="175">
        <v>0</v>
      </c>
      <c r="V34" s="175">
        <v>0</v>
      </c>
      <c r="W34" s="175">
        <v>1</v>
      </c>
      <c r="X34" s="175">
        <v>1</v>
      </c>
      <c r="Y34" s="175">
        <v>0</v>
      </c>
      <c r="Z34" s="175">
        <v>0</v>
      </c>
      <c r="AA34" s="175">
        <v>0</v>
      </c>
      <c r="AB34" s="154">
        <v>0</v>
      </c>
      <c r="AC34" s="174" t="s">
        <v>1514</v>
      </c>
      <c r="AD34" s="174" t="s">
        <v>1496</v>
      </c>
      <c r="AE34" s="176">
        <v>50</v>
      </c>
      <c r="AF34" s="177">
        <v>1</v>
      </c>
      <c r="AG34" s="177" t="s">
        <v>1571</v>
      </c>
      <c r="AH34" s="169" t="s">
        <v>1499</v>
      </c>
      <c r="AI34" s="169">
        <v>0</v>
      </c>
      <c r="AJ34" s="169">
        <v>1</v>
      </c>
      <c r="AK34" s="169">
        <v>1</v>
      </c>
      <c r="AL34" s="169">
        <v>1</v>
      </c>
      <c r="AM34" s="169">
        <v>0</v>
      </c>
      <c r="AN34" s="169">
        <v>1</v>
      </c>
      <c r="AO34" s="178">
        <v>0</v>
      </c>
      <c r="AP34" s="170" t="s">
        <v>1501</v>
      </c>
      <c r="AQ34" s="170">
        <v>1</v>
      </c>
      <c r="AR34" s="170" t="s">
        <v>1503</v>
      </c>
      <c r="AS34" s="170">
        <v>1</v>
      </c>
      <c r="AT34" s="170">
        <v>1</v>
      </c>
      <c r="AU34" s="170">
        <v>0</v>
      </c>
      <c r="AV34" s="170">
        <v>1</v>
      </c>
      <c r="AW34" s="170">
        <v>0</v>
      </c>
      <c r="AX34" s="170">
        <v>1</v>
      </c>
      <c r="AY34" s="170">
        <v>0</v>
      </c>
      <c r="AZ34" s="170">
        <v>0</v>
      </c>
      <c r="BA34" s="170">
        <v>0</v>
      </c>
      <c r="BB34" s="170">
        <v>0</v>
      </c>
      <c r="BC34" s="170">
        <v>0</v>
      </c>
      <c r="BD34" s="170">
        <v>0</v>
      </c>
      <c r="BE34" s="170">
        <v>0</v>
      </c>
      <c r="BF34" s="170">
        <v>0</v>
      </c>
      <c r="BG34" s="170">
        <v>0</v>
      </c>
      <c r="BH34" s="170">
        <v>0</v>
      </c>
      <c r="BI34" s="170">
        <v>0</v>
      </c>
      <c r="BJ34" s="170">
        <v>0</v>
      </c>
      <c r="BK34" s="170">
        <v>0</v>
      </c>
      <c r="BL34" s="175">
        <v>1</v>
      </c>
      <c r="BM34" s="175" t="s">
        <v>1561</v>
      </c>
      <c r="BN34" s="175">
        <v>0</v>
      </c>
      <c r="BO34" s="175">
        <v>1</v>
      </c>
      <c r="BP34" s="175" t="s">
        <v>1589</v>
      </c>
    </row>
    <row r="35" spans="1:68" x14ac:dyDescent="0.2">
      <c r="A35" s="179" t="s">
        <v>1427</v>
      </c>
      <c r="B35" s="179" t="s">
        <v>91</v>
      </c>
      <c r="C35" s="180">
        <v>46125</v>
      </c>
      <c r="D35" s="179">
        <v>0</v>
      </c>
      <c r="E35" s="179">
        <v>0</v>
      </c>
      <c r="F35" s="179">
        <v>26</v>
      </c>
      <c r="G35" s="170">
        <v>2</v>
      </c>
      <c r="H35" s="170" t="s">
        <v>1493</v>
      </c>
      <c r="I35" s="170" t="s">
        <v>35</v>
      </c>
      <c r="J35" s="170">
        <v>400</v>
      </c>
      <c r="K35" s="170">
        <v>50</v>
      </c>
      <c r="L35" s="170">
        <v>1</v>
      </c>
      <c r="M35" s="170">
        <v>7</v>
      </c>
      <c r="N35" s="170">
        <v>1994</v>
      </c>
      <c r="O35" s="172">
        <v>32</v>
      </c>
      <c r="P35" s="175">
        <v>0</v>
      </c>
      <c r="Q35" s="175" t="s">
        <v>1492</v>
      </c>
      <c r="R35" s="175">
        <v>0</v>
      </c>
      <c r="S35" s="175">
        <v>0</v>
      </c>
      <c r="T35" s="175" t="s">
        <v>1492</v>
      </c>
      <c r="U35" s="175">
        <v>0</v>
      </c>
      <c r="V35" s="175">
        <v>0</v>
      </c>
      <c r="W35" s="175">
        <v>1</v>
      </c>
      <c r="X35" s="175">
        <v>1</v>
      </c>
      <c r="Y35" s="175">
        <v>0</v>
      </c>
      <c r="Z35" s="175">
        <v>0</v>
      </c>
      <c r="AA35" s="175">
        <v>0</v>
      </c>
      <c r="AB35" s="154">
        <v>0</v>
      </c>
      <c r="AC35" s="174" t="s">
        <v>1496</v>
      </c>
      <c r="AD35" s="174" t="s">
        <v>1496</v>
      </c>
      <c r="AE35" s="176">
        <v>40</v>
      </c>
      <c r="AF35" s="177">
        <v>1</v>
      </c>
      <c r="AG35" s="177" t="s">
        <v>1517</v>
      </c>
      <c r="AH35" s="169" t="s">
        <v>1499</v>
      </c>
      <c r="AI35" s="169">
        <v>0</v>
      </c>
      <c r="AJ35" s="169">
        <v>1</v>
      </c>
      <c r="AK35" s="169">
        <v>0</v>
      </c>
      <c r="AL35" s="169">
        <v>1</v>
      </c>
      <c r="AM35" s="169">
        <v>0</v>
      </c>
      <c r="AN35" s="169">
        <v>0</v>
      </c>
      <c r="AO35" s="178">
        <v>0</v>
      </c>
      <c r="AP35" s="170" t="s">
        <v>1501</v>
      </c>
      <c r="AQ35" s="170">
        <v>1</v>
      </c>
      <c r="AR35" s="170" t="s">
        <v>1503</v>
      </c>
      <c r="AS35" s="170">
        <v>1</v>
      </c>
      <c r="AT35" s="170">
        <v>1</v>
      </c>
      <c r="AU35" s="170">
        <v>0</v>
      </c>
      <c r="AV35" s="170">
        <v>0</v>
      </c>
      <c r="AW35" s="170">
        <v>0</v>
      </c>
      <c r="AX35" s="170">
        <v>0</v>
      </c>
      <c r="AY35" s="170">
        <v>1</v>
      </c>
      <c r="AZ35" s="170">
        <v>1</v>
      </c>
      <c r="BA35" s="170">
        <v>0</v>
      </c>
      <c r="BB35" s="170">
        <v>0</v>
      </c>
      <c r="BC35" s="170">
        <v>0</v>
      </c>
      <c r="BD35" s="170">
        <v>0</v>
      </c>
      <c r="BE35" s="170">
        <v>0</v>
      </c>
      <c r="BF35" s="170">
        <v>0</v>
      </c>
      <c r="BG35" s="170">
        <v>0</v>
      </c>
      <c r="BH35" s="170">
        <v>0</v>
      </c>
      <c r="BI35" s="170">
        <v>0</v>
      </c>
      <c r="BJ35" s="170">
        <v>0</v>
      </c>
      <c r="BK35" s="170">
        <v>0</v>
      </c>
      <c r="BL35" s="175">
        <v>1</v>
      </c>
      <c r="BM35" s="175" t="s">
        <v>1561</v>
      </c>
      <c r="BN35" s="175">
        <v>0</v>
      </c>
      <c r="BO35" s="175">
        <v>1</v>
      </c>
      <c r="BP35" s="175" t="s">
        <v>1526</v>
      </c>
    </row>
    <row r="36" spans="1:68" x14ac:dyDescent="0.2">
      <c r="A36" s="179" t="s">
        <v>1428</v>
      </c>
      <c r="B36" s="179" t="s">
        <v>91</v>
      </c>
      <c r="C36" s="180">
        <v>46125</v>
      </c>
      <c r="D36" s="179">
        <v>0</v>
      </c>
      <c r="E36" s="179">
        <v>0</v>
      </c>
      <c r="F36" s="179">
        <v>29</v>
      </c>
      <c r="G36" s="170">
        <v>2</v>
      </c>
      <c r="H36" s="170" t="s">
        <v>1493</v>
      </c>
      <c r="I36" s="170" t="s">
        <v>35</v>
      </c>
      <c r="J36" s="170">
        <v>400</v>
      </c>
      <c r="K36" s="170">
        <v>26</v>
      </c>
      <c r="L36" s="170">
        <v>1</v>
      </c>
      <c r="M36" s="170">
        <v>4</v>
      </c>
      <c r="N36" s="170">
        <v>1984</v>
      </c>
      <c r="O36" s="172">
        <v>42</v>
      </c>
      <c r="P36" s="175">
        <v>1</v>
      </c>
      <c r="Q36" s="175" t="s">
        <v>1557</v>
      </c>
      <c r="R36" s="175">
        <v>0</v>
      </c>
      <c r="S36" s="175">
        <v>1</v>
      </c>
      <c r="T36" s="175" t="s">
        <v>1572</v>
      </c>
      <c r="U36" s="175">
        <v>0</v>
      </c>
      <c r="V36" s="175">
        <v>0</v>
      </c>
      <c r="W36" s="175">
        <v>1</v>
      </c>
      <c r="X36" s="175">
        <v>1</v>
      </c>
      <c r="Y36" s="175">
        <v>0</v>
      </c>
      <c r="Z36" s="175">
        <v>0</v>
      </c>
      <c r="AA36" s="175">
        <v>1</v>
      </c>
      <c r="AB36" s="154">
        <v>0</v>
      </c>
      <c r="AC36" s="174" t="s">
        <v>1495</v>
      </c>
      <c r="AD36" s="174" t="s">
        <v>1514</v>
      </c>
      <c r="AE36" s="176">
        <v>40</v>
      </c>
      <c r="AF36" s="177">
        <v>1</v>
      </c>
      <c r="AG36" s="177" t="s">
        <v>1515</v>
      </c>
      <c r="AH36" s="169" t="s">
        <v>1508</v>
      </c>
      <c r="AI36" s="169">
        <v>1</v>
      </c>
      <c r="AJ36" s="169">
        <v>1</v>
      </c>
      <c r="AK36" s="169">
        <v>1</v>
      </c>
      <c r="AL36" s="169">
        <v>1</v>
      </c>
      <c r="AM36" s="169">
        <v>0</v>
      </c>
      <c r="AN36" s="169">
        <v>0</v>
      </c>
      <c r="AO36" s="178">
        <v>0</v>
      </c>
      <c r="AP36" s="170" t="s">
        <v>1568</v>
      </c>
      <c r="AQ36" s="170" t="s">
        <v>1546</v>
      </c>
      <c r="AR36" s="170" t="s">
        <v>1503</v>
      </c>
      <c r="AS36" s="170">
        <v>1</v>
      </c>
      <c r="AT36" s="170">
        <v>1</v>
      </c>
      <c r="AU36" s="170">
        <v>0</v>
      </c>
      <c r="AV36" s="170">
        <v>1</v>
      </c>
      <c r="AW36" s="170">
        <v>0</v>
      </c>
      <c r="AX36" s="170">
        <v>1</v>
      </c>
      <c r="AY36" s="170">
        <v>1</v>
      </c>
      <c r="AZ36" s="170">
        <v>1</v>
      </c>
      <c r="BA36" s="170">
        <v>0</v>
      </c>
      <c r="BB36" s="170">
        <v>0</v>
      </c>
      <c r="BC36" s="170">
        <v>0</v>
      </c>
      <c r="BD36" s="170">
        <v>0</v>
      </c>
      <c r="BE36" s="170">
        <v>0</v>
      </c>
      <c r="BF36" s="170">
        <v>0</v>
      </c>
      <c r="BG36" s="170">
        <v>0</v>
      </c>
      <c r="BH36" s="170">
        <v>0</v>
      </c>
      <c r="BI36" s="170">
        <v>0</v>
      </c>
      <c r="BJ36" s="170">
        <v>0</v>
      </c>
      <c r="BK36" s="170">
        <v>0</v>
      </c>
      <c r="BL36" s="175">
        <v>1</v>
      </c>
      <c r="BM36" s="175" t="s">
        <v>1573</v>
      </c>
      <c r="BN36" s="175">
        <v>0</v>
      </c>
      <c r="BO36" s="175">
        <v>0</v>
      </c>
      <c r="BP36" s="175" t="s">
        <v>1530</v>
      </c>
    </row>
    <row r="37" spans="1:68" x14ac:dyDescent="0.2">
      <c r="A37" s="179" t="s">
        <v>1429</v>
      </c>
      <c r="B37" s="179" t="s">
        <v>91</v>
      </c>
      <c r="C37" s="180">
        <v>46128</v>
      </c>
      <c r="D37" s="179">
        <v>0</v>
      </c>
      <c r="E37" s="179">
        <v>0</v>
      </c>
      <c r="F37" s="179">
        <v>23</v>
      </c>
      <c r="G37" s="170">
        <v>1</v>
      </c>
      <c r="H37" s="170" t="s">
        <v>1493</v>
      </c>
      <c r="I37" s="170" t="s">
        <v>35</v>
      </c>
      <c r="J37" s="170">
        <v>450</v>
      </c>
      <c r="K37" s="170">
        <v>51</v>
      </c>
      <c r="L37" s="170">
        <v>1</v>
      </c>
      <c r="M37" s="170">
        <v>7</v>
      </c>
      <c r="N37" s="170">
        <v>1992</v>
      </c>
      <c r="O37" s="172">
        <v>34</v>
      </c>
      <c r="P37" s="175">
        <v>0</v>
      </c>
      <c r="Q37" s="175" t="s">
        <v>1492</v>
      </c>
      <c r="R37" s="175">
        <v>1</v>
      </c>
      <c r="S37" s="175">
        <v>0</v>
      </c>
      <c r="T37" s="175" t="s">
        <v>1492</v>
      </c>
      <c r="U37" s="175">
        <v>0</v>
      </c>
      <c r="V37" s="175">
        <v>1</v>
      </c>
      <c r="W37" s="175">
        <v>0</v>
      </c>
      <c r="X37" s="175">
        <v>0</v>
      </c>
      <c r="Y37" s="175">
        <v>0</v>
      </c>
      <c r="Z37" s="175">
        <v>0</v>
      </c>
      <c r="AA37" s="175">
        <v>0</v>
      </c>
      <c r="AB37" s="154">
        <v>0</v>
      </c>
      <c r="AC37" s="174" t="s">
        <v>1496</v>
      </c>
      <c r="AD37" s="174" t="s">
        <v>1496</v>
      </c>
      <c r="AE37" s="176">
        <v>40</v>
      </c>
      <c r="AF37" s="177">
        <v>1</v>
      </c>
      <c r="AG37" s="177" t="s">
        <v>1517</v>
      </c>
      <c r="AH37" s="169" t="s">
        <v>1499</v>
      </c>
      <c r="AI37" s="169">
        <v>1</v>
      </c>
      <c r="AJ37" s="169">
        <v>0</v>
      </c>
      <c r="AK37" s="169">
        <v>0</v>
      </c>
      <c r="AL37" s="169">
        <v>1</v>
      </c>
      <c r="AM37" s="169">
        <v>0</v>
      </c>
      <c r="AN37" s="169">
        <v>0</v>
      </c>
      <c r="AO37" s="178">
        <v>0</v>
      </c>
      <c r="AP37" s="170" t="s">
        <v>1568</v>
      </c>
      <c r="AQ37" s="170">
        <v>1</v>
      </c>
      <c r="AR37" s="170" t="s">
        <v>1503</v>
      </c>
      <c r="AS37" s="170">
        <v>1</v>
      </c>
      <c r="AT37" s="170">
        <v>1</v>
      </c>
      <c r="AU37" s="170">
        <v>0</v>
      </c>
      <c r="AV37" s="170">
        <v>1</v>
      </c>
      <c r="AW37" s="170">
        <v>0</v>
      </c>
      <c r="AX37" s="170">
        <v>1</v>
      </c>
      <c r="AY37" s="170">
        <v>1</v>
      </c>
      <c r="AZ37" s="170">
        <v>1</v>
      </c>
      <c r="BA37" s="170">
        <v>0</v>
      </c>
      <c r="BB37" s="170">
        <v>0</v>
      </c>
      <c r="BC37" s="170">
        <v>0</v>
      </c>
      <c r="BD37" s="170">
        <v>0</v>
      </c>
      <c r="BE37" s="170">
        <v>0</v>
      </c>
      <c r="BF37" s="170">
        <v>0</v>
      </c>
      <c r="BG37" s="170">
        <v>0</v>
      </c>
      <c r="BH37" s="170">
        <v>0</v>
      </c>
      <c r="BI37" s="170">
        <v>0</v>
      </c>
      <c r="BJ37" s="170">
        <v>0</v>
      </c>
      <c r="BK37" s="170">
        <v>0</v>
      </c>
      <c r="BL37" s="175">
        <v>1</v>
      </c>
      <c r="BM37" s="175" t="s">
        <v>1616</v>
      </c>
      <c r="BN37" s="175">
        <v>1</v>
      </c>
      <c r="BO37" s="175">
        <v>1</v>
      </c>
      <c r="BP37" s="175" t="s">
        <v>1553</v>
      </c>
    </row>
    <row r="38" spans="1:68" x14ac:dyDescent="0.2">
      <c r="A38" s="147" t="s">
        <v>1430</v>
      </c>
      <c r="B38" s="147" t="str">
        <f>Elevage!L37</f>
        <v>ETANG SALE/SAINT LOUIS</v>
      </c>
      <c r="C38" s="163">
        <f>Elevage!B37</f>
        <v>46128</v>
      </c>
      <c r="D38" s="147">
        <v>1</v>
      </c>
      <c r="E38" s="147">
        <v>0</v>
      </c>
      <c r="F38" s="147">
        <v>26</v>
      </c>
      <c r="G38" s="150">
        <v>2</v>
      </c>
      <c r="H38" s="150" t="s">
        <v>1505</v>
      </c>
      <c r="I38" s="150" t="s">
        <v>35</v>
      </c>
      <c r="J38" s="150">
        <v>450</v>
      </c>
      <c r="K38" s="150">
        <v>42</v>
      </c>
      <c r="L38" s="150">
        <v>2</v>
      </c>
      <c r="M38" s="150">
        <v>4</v>
      </c>
      <c r="N38" s="150">
        <v>2012</v>
      </c>
      <c r="O38" s="151">
        <f t="shared" si="0"/>
        <v>14</v>
      </c>
      <c r="P38" s="153">
        <v>0</v>
      </c>
      <c r="Q38" s="153" t="s">
        <v>1492</v>
      </c>
      <c r="R38" s="153">
        <v>1</v>
      </c>
      <c r="S38" s="153">
        <v>0</v>
      </c>
      <c r="T38" s="153" t="s">
        <v>1492</v>
      </c>
      <c r="U38" s="153">
        <v>0</v>
      </c>
      <c r="V38" s="153">
        <v>1</v>
      </c>
      <c r="W38" s="153">
        <v>0</v>
      </c>
      <c r="X38" s="153">
        <v>0</v>
      </c>
      <c r="Y38" s="153">
        <v>0</v>
      </c>
      <c r="Z38" s="153">
        <v>0</v>
      </c>
      <c r="AA38" s="153">
        <v>0</v>
      </c>
      <c r="AB38" s="154">
        <v>0</v>
      </c>
      <c r="AC38" s="156" t="s">
        <v>1496</v>
      </c>
      <c r="AD38" s="156" t="s">
        <v>1496</v>
      </c>
      <c r="AE38" s="171">
        <v>40</v>
      </c>
      <c r="AF38" s="158">
        <v>1</v>
      </c>
      <c r="AG38" s="158" t="s">
        <v>1575</v>
      </c>
      <c r="AH38" s="160" t="s">
        <v>1499</v>
      </c>
      <c r="AI38" s="160">
        <v>0</v>
      </c>
      <c r="AJ38" s="160">
        <v>1</v>
      </c>
      <c r="AK38" s="160">
        <v>0</v>
      </c>
      <c r="AL38" s="160">
        <v>0</v>
      </c>
      <c r="AM38" s="160">
        <v>0</v>
      </c>
      <c r="AN38" s="160">
        <v>0</v>
      </c>
      <c r="AO38" s="161">
        <v>1</v>
      </c>
      <c r="AP38" s="150" t="s">
        <v>1513</v>
      </c>
      <c r="AQ38" s="167" t="s">
        <v>1546</v>
      </c>
      <c r="AR38" s="150" t="s">
        <v>1503</v>
      </c>
      <c r="AS38" s="150">
        <f t="shared" si="1"/>
        <v>1</v>
      </c>
      <c r="AT38" s="150">
        <v>1</v>
      </c>
      <c r="AU38" s="150">
        <v>0</v>
      </c>
      <c r="AV38" s="150">
        <f t="shared" si="2"/>
        <v>0</v>
      </c>
      <c r="AW38" s="150">
        <v>0</v>
      </c>
      <c r="AX38" s="150">
        <v>0</v>
      </c>
      <c r="AY38" s="150">
        <f t="shared" si="3"/>
        <v>0</v>
      </c>
      <c r="AZ38" s="150">
        <v>0</v>
      </c>
      <c r="BA38" s="150">
        <f t="shared" si="4"/>
        <v>0</v>
      </c>
      <c r="BB38" s="150">
        <v>0</v>
      </c>
      <c r="BC38" s="150">
        <f t="shared" si="5"/>
        <v>0</v>
      </c>
      <c r="BD38" s="150">
        <v>0</v>
      </c>
      <c r="BE38" s="150">
        <f t="shared" si="6"/>
        <v>0</v>
      </c>
      <c r="BF38" s="150">
        <v>0</v>
      </c>
      <c r="BG38" s="150">
        <v>0</v>
      </c>
      <c r="BH38" s="150">
        <f t="shared" ref="BH38" si="63">IF(OR(BI38=1),1,0)</f>
        <v>0</v>
      </c>
      <c r="BI38" s="150">
        <v>0</v>
      </c>
      <c r="BJ38" s="150">
        <f t="shared" ref="BJ38" si="64">IF(OR(BK38=1),1,0)</f>
        <v>0</v>
      </c>
      <c r="BK38" s="150">
        <v>0</v>
      </c>
      <c r="BL38" s="153">
        <v>1</v>
      </c>
      <c r="BM38" s="153" t="s">
        <v>1573</v>
      </c>
      <c r="BN38" s="153">
        <v>0</v>
      </c>
      <c r="BO38" s="153">
        <v>0</v>
      </c>
      <c r="BP38" s="153" t="s">
        <v>1530</v>
      </c>
    </row>
    <row r="39" spans="1:68" x14ac:dyDescent="0.2">
      <c r="A39" s="147" t="s">
        <v>1431</v>
      </c>
      <c r="B39" s="147" t="str">
        <f>Elevage!L38</f>
        <v>ETANG SALE/SAINT LOUIS</v>
      </c>
      <c r="C39" s="163">
        <f>Elevage!B38</f>
        <v>46128</v>
      </c>
      <c r="D39" s="147">
        <v>0</v>
      </c>
      <c r="E39" s="147">
        <v>0</v>
      </c>
      <c r="F39" s="147">
        <v>25</v>
      </c>
      <c r="G39" s="168">
        <v>2</v>
      </c>
      <c r="H39" s="150" t="s">
        <v>1505</v>
      </c>
      <c r="I39" s="150" t="s">
        <v>35</v>
      </c>
      <c r="J39" s="150">
        <v>350</v>
      </c>
      <c r="K39" s="150">
        <v>50</v>
      </c>
      <c r="L39" s="150">
        <v>6</v>
      </c>
      <c r="M39" s="150">
        <v>4</v>
      </c>
      <c r="N39" s="150">
        <v>2006</v>
      </c>
      <c r="O39" s="151">
        <f t="shared" si="0"/>
        <v>20</v>
      </c>
      <c r="P39" s="152">
        <v>0</v>
      </c>
      <c r="Q39" s="153" t="s">
        <v>1492</v>
      </c>
      <c r="R39" s="153">
        <v>1</v>
      </c>
      <c r="S39" s="153">
        <v>1</v>
      </c>
      <c r="T39" s="154" t="s">
        <v>1576</v>
      </c>
      <c r="U39" s="154">
        <v>1</v>
      </c>
      <c r="V39" s="154">
        <v>0</v>
      </c>
      <c r="W39" s="154">
        <v>1</v>
      </c>
      <c r="X39" s="154">
        <v>0</v>
      </c>
      <c r="Y39" s="154">
        <v>0</v>
      </c>
      <c r="Z39" s="154">
        <v>0</v>
      </c>
      <c r="AA39" s="154">
        <v>0</v>
      </c>
      <c r="AB39" s="154">
        <v>0</v>
      </c>
      <c r="AC39" s="155" t="s">
        <v>1495</v>
      </c>
      <c r="AD39" s="156" t="s">
        <v>1496</v>
      </c>
      <c r="AE39" s="171"/>
      <c r="AF39" s="158"/>
      <c r="AH39" s="160" t="s">
        <v>1499</v>
      </c>
      <c r="AI39" s="160">
        <v>1</v>
      </c>
      <c r="AJ39" s="160">
        <v>1</v>
      </c>
      <c r="AK39" s="160">
        <v>0</v>
      </c>
      <c r="AL39" s="160">
        <v>0</v>
      </c>
      <c r="AM39" s="160">
        <v>0</v>
      </c>
      <c r="AN39" s="160">
        <v>0</v>
      </c>
      <c r="AO39" s="161">
        <v>1</v>
      </c>
      <c r="AP39" s="150" t="s">
        <v>1513</v>
      </c>
      <c r="AQ39" s="167" t="s">
        <v>1546</v>
      </c>
      <c r="AR39" s="150" t="s">
        <v>1503</v>
      </c>
      <c r="AS39" s="150">
        <f t="shared" si="1"/>
        <v>1</v>
      </c>
      <c r="AT39" s="150">
        <v>1</v>
      </c>
      <c r="AU39" s="150">
        <v>0</v>
      </c>
      <c r="AV39" s="150">
        <f t="shared" si="2"/>
        <v>0</v>
      </c>
      <c r="AW39" s="150">
        <v>0</v>
      </c>
      <c r="AX39" s="150">
        <v>0</v>
      </c>
      <c r="AY39" s="150">
        <f t="shared" si="3"/>
        <v>1</v>
      </c>
      <c r="AZ39" s="150">
        <v>1</v>
      </c>
      <c r="BA39" s="150">
        <f t="shared" si="4"/>
        <v>0</v>
      </c>
      <c r="BB39" s="150">
        <v>0</v>
      </c>
      <c r="BC39" s="150">
        <f t="shared" si="5"/>
        <v>0</v>
      </c>
      <c r="BD39" s="150">
        <v>0</v>
      </c>
      <c r="BE39" s="150">
        <f t="shared" si="6"/>
        <v>1</v>
      </c>
      <c r="BF39" s="150">
        <v>1</v>
      </c>
      <c r="BG39" s="150">
        <v>0</v>
      </c>
      <c r="BH39" s="150">
        <f t="shared" ref="BH39" si="65">IF(OR(BI39=1),1,0)</f>
        <v>1</v>
      </c>
      <c r="BI39" s="150">
        <v>1</v>
      </c>
      <c r="BJ39" s="150">
        <f t="shared" ref="BJ39" si="66">IF(OR(BK39=1),1,0)</f>
        <v>0</v>
      </c>
      <c r="BK39" s="150">
        <v>0</v>
      </c>
      <c r="BL39" s="153">
        <v>1</v>
      </c>
      <c r="BM39" s="153" t="s">
        <v>1577</v>
      </c>
      <c r="BN39" s="153">
        <v>0</v>
      </c>
      <c r="BO39" s="153">
        <v>1</v>
      </c>
      <c r="BP39" s="153" t="s">
        <v>1621</v>
      </c>
    </row>
    <row r="40" spans="1:68" x14ac:dyDescent="0.2">
      <c r="A40" s="147" t="s">
        <v>1432</v>
      </c>
      <c r="B40" s="147" t="str">
        <f>Elevage!L39</f>
        <v>ETANG SALE/SAINT LOUIS</v>
      </c>
      <c r="C40" s="163">
        <f>Elevage!B39</f>
        <v>46128</v>
      </c>
      <c r="D40" s="147">
        <v>0</v>
      </c>
      <c r="E40" s="147">
        <v>0</v>
      </c>
      <c r="F40" s="147">
        <v>25</v>
      </c>
      <c r="G40" s="168">
        <v>1</v>
      </c>
      <c r="H40" s="150" t="s">
        <v>1493</v>
      </c>
      <c r="I40" s="150" t="s">
        <v>35</v>
      </c>
      <c r="J40" s="150">
        <v>575</v>
      </c>
      <c r="K40" s="150">
        <v>48</v>
      </c>
      <c r="L40" s="150">
        <v>1</v>
      </c>
      <c r="M40" s="150">
        <v>4</v>
      </c>
      <c r="N40" s="150">
        <v>2011</v>
      </c>
      <c r="O40" s="151">
        <f t="shared" si="0"/>
        <v>15</v>
      </c>
      <c r="P40" s="152">
        <v>0</v>
      </c>
      <c r="Q40" s="153" t="s">
        <v>1492</v>
      </c>
      <c r="R40" s="153">
        <v>0</v>
      </c>
      <c r="S40" s="153">
        <v>1</v>
      </c>
      <c r="T40" s="154" t="s">
        <v>1485</v>
      </c>
      <c r="U40" s="154">
        <v>0</v>
      </c>
      <c r="V40" s="154">
        <v>0</v>
      </c>
      <c r="W40" s="154">
        <v>0</v>
      </c>
      <c r="X40" s="154">
        <v>0</v>
      </c>
      <c r="Y40" s="154">
        <v>0</v>
      </c>
      <c r="Z40" s="154">
        <v>0</v>
      </c>
      <c r="AA40" s="154">
        <v>0</v>
      </c>
      <c r="AB40" s="154">
        <v>0</v>
      </c>
      <c r="AC40" s="155" t="s">
        <v>1495</v>
      </c>
      <c r="AD40" s="156" t="s">
        <v>1496</v>
      </c>
      <c r="AE40" s="156">
        <v>40</v>
      </c>
      <c r="AF40" s="157">
        <v>1</v>
      </c>
      <c r="AG40" s="157" t="s">
        <v>1507</v>
      </c>
      <c r="AH40" s="159" t="s">
        <v>1499</v>
      </c>
      <c r="AI40" s="160">
        <v>1</v>
      </c>
      <c r="AJ40" s="160">
        <v>1</v>
      </c>
      <c r="AK40" s="160">
        <v>1</v>
      </c>
      <c r="AL40" s="160">
        <v>1</v>
      </c>
      <c r="AM40" s="160">
        <v>0</v>
      </c>
      <c r="AN40" s="161">
        <v>0</v>
      </c>
      <c r="AO40" s="161">
        <v>1</v>
      </c>
      <c r="AP40" s="150" t="s">
        <v>1513</v>
      </c>
      <c r="AQ40" s="167" t="s">
        <v>1544</v>
      </c>
      <c r="AR40" s="150" t="s">
        <v>1503</v>
      </c>
      <c r="AS40" s="150">
        <f t="shared" si="1"/>
        <v>1</v>
      </c>
      <c r="AT40" s="150">
        <v>1</v>
      </c>
      <c r="AU40" s="150">
        <v>0</v>
      </c>
      <c r="AV40" s="150">
        <f t="shared" si="2"/>
        <v>0</v>
      </c>
      <c r="AW40" s="150">
        <v>0</v>
      </c>
      <c r="AX40" s="150">
        <v>0</v>
      </c>
      <c r="AY40" s="150">
        <f t="shared" si="3"/>
        <v>0</v>
      </c>
      <c r="AZ40" s="150">
        <v>0</v>
      </c>
      <c r="BA40" s="150">
        <f t="shared" si="4"/>
        <v>0</v>
      </c>
      <c r="BB40" s="168">
        <v>0</v>
      </c>
      <c r="BC40" s="150">
        <f t="shared" si="5"/>
        <v>0</v>
      </c>
      <c r="BD40" s="150">
        <v>0</v>
      </c>
      <c r="BE40" s="150">
        <f t="shared" si="6"/>
        <v>0</v>
      </c>
      <c r="BF40" s="151">
        <v>0</v>
      </c>
      <c r="BG40" s="150">
        <v>0</v>
      </c>
      <c r="BH40" s="150">
        <f t="shared" ref="BH40" si="67">IF(OR(BI40=1),1,0)</f>
        <v>0</v>
      </c>
      <c r="BI40" s="150">
        <v>0</v>
      </c>
      <c r="BJ40" s="150">
        <f t="shared" ref="BJ40" si="68">IF(OR(BK40=1),1,0)</f>
        <v>1</v>
      </c>
      <c r="BK40" s="150">
        <v>1</v>
      </c>
      <c r="BL40" s="152">
        <v>0</v>
      </c>
      <c r="BM40" s="153" t="s">
        <v>1530</v>
      </c>
      <c r="BN40" s="153">
        <v>0</v>
      </c>
      <c r="BO40" s="153">
        <v>0</v>
      </c>
      <c r="BP40" s="162" t="s">
        <v>1530</v>
      </c>
    </row>
    <row r="41" spans="1:68" x14ac:dyDescent="0.2">
      <c r="A41" s="147" t="s">
        <v>1433</v>
      </c>
      <c r="B41" s="147" t="str">
        <f>Elevage!L40</f>
        <v>SAINT JOSEPH</v>
      </c>
      <c r="C41" s="163">
        <f>Elevage!B40</f>
        <v>46129</v>
      </c>
      <c r="D41" s="147">
        <v>0</v>
      </c>
      <c r="E41" s="147">
        <v>0</v>
      </c>
      <c r="F41" s="147"/>
      <c r="G41" s="168">
        <v>4</v>
      </c>
      <c r="H41" s="150" t="s">
        <v>1513</v>
      </c>
      <c r="I41" s="150" t="s">
        <v>35</v>
      </c>
      <c r="J41" s="150">
        <v>500</v>
      </c>
      <c r="K41" s="150">
        <v>65</v>
      </c>
      <c r="L41" s="150">
        <v>1</v>
      </c>
      <c r="M41" s="150">
        <v>4</v>
      </c>
      <c r="N41" s="150">
        <v>1992</v>
      </c>
      <c r="O41" s="151">
        <f t="shared" si="0"/>
        <v>34</v>
      </c>
      <c r="P41" s="152">
        <v>1</v>
      </c>
      <c r="Q41" s="153" t="s">
        <v>1566</v>
      </c>
      <c r="R41" s="153">
        <v>1</v>
      </c>
      <c r="S41" s="153">
        <v>0</v>
      </c>
      <c r="T41" s="154" t="s">
        <v>1492</v>
      </c>
      <c r="U41" s="154">
        <v>0</v>
      </c>
      <c r="V41" s="154">
        <v>0</v>
      </c>
      <c r="W41" s="154">
        <v>0</v>
      </c>
      <c r="X41" s="154">
        <v>1</v>
      </c>
      <c r="Y41" s="154">
        <v>0</v>
      </c>
      <c r="Z41" s="154">
        <v>0</v>
      </c>
      <c r="AA41" s="154">
        <v>0</v>
      </c>
      <c r="AB41" s="154">
        <v>0</v>
      </c>
      <c r="AC41" s="155" t="s">
        <v>1496</v>
      </c>
      <c r="AD41" s="156" t="s">
        <v>1496</v>
      </c>
      <c r="AE41" s="156">
        <v>40</v>
      </c>
      <c r="AF41" s="157">
        <v>1</v>
      </c>
      <c r="AG41" s="158" t="s">
        <v>1578</v>
      </c>
      <c r="AH41" s="159" t="s">
        <v>1499</v>
      </c>
      <c r="AI41" s="160">
        <v>1</v>
      </c>
      <c r="AJ41" s="160">
        <v>0</v>
      </c>
      <c r="AK41" s="160">
        <v>0</v>
      </c>
      <c r="AL41" s="160">
        <v>1</v>
      </c>
      <c r="AM41" s="160">
        <v>0</v>
      </c>
      <c r="AN41" s="161">
        <v>0</v>
      </c>
      <c r="AO41" s="160">
        <v>0</v>
      </c>
      <c r="AP41" s="149" t="s">
        <v>1501</v>
      </c>
      <c r="AQ41" s="167" t="s">
        <v>1545</v>
      </c>
      <c r="AR41" s="150" t="s">
        <v>1503</v>
      </c>
      <c r="AS41" s="150">
        <f t="shared" si="1"/>
        <v>1</v>
      </c>
      <c r="AT41" s="150">
        <v>1</v>
      </c>
      <c r="AU41" s="150">
        <v>0</v>
      </c>
      <c r="AV41" s="150">
        <f t="shared" si="2"/>
        <v>0</v>
      </c>
      <c r="AW41" s="150">
        <v>0</v>
      </c>
      <c r="AX41" s="150">
        <v>0</v>
      </c>
      <c r="AY41" s="150">
        <f t="shared" si="3"/>
        <v>0</v>
      </c>
      <c r="AZ41" s="150">
        <v>0</v>
      </c>
      <c r="BA41" s="150">
        <f t="shared" si="4"/>
        <v>0</v>
      </c>
      <c r="BB41" s="150">
        <v>0</v>
      </c>
      <c r="BC41" s="150">
        <f t="shared" si="5"/>
        <v>0</v>
      </c>
      <c r="BD41" s="150">
        <v>0</v>
      </c>
      <c r="BE41" s="150">
        <f t="shared" si="6"/>
        <v>0</v>
      </c>
      <c r="BF41" s="151">
        <v>0</v>
      </c>
      <c r="BG41" s="150">
        <v>0</v>
      </c>
      <c r="BH41" s="150">
        <f t="shared" ref="BH41" si="69">IF(OR(BI41=1),1,0)</f>
        <v>0</v>
      </c>
      <c r="BI41" s="150">
        <v>0</v>
      </c>
      <c r="BJ41" s="150">
        <f t="shared" ref="BJ41" si="70">IF(OR(BK41=1),1,0)</f>
        <v>0</v>
      </c>
      <c r="BK41" s="150">
        <v>0</v>
      </c>
      <c r="BL41" s="152">
        <v>0</v>
      </c>
      <c r="BM41" s="153" t="s">
        <v>1530</v>
      </c>
      <c r="BN41" s="153">
        <v>0</v>
      </c>
      <c r="BO41" s="153">
        <v>0</v>
      </c>
      <c r="BP41" s="162" t="s">
        <v>1530</v>
      </c>
    </row>
    <row r="42" spans="1:68" x14ac:dyDescent="0.2">
      <c r="A42" s="146" t="s">
        <v>1434</v>
      </c>
      <c r="B42" s="147" t="str">
        <f>Elevage!L41</f>
        <v>SAINT JOSEPH</v>
      </c>
      <c r="C42" s="163">
        <f>Elevage!B41</f>
        <v>46129</v>
      </c>
      <c r="D42" s="147">
        <v>0</v>
      </c>
      <c r="E42" s="148">
        <v>0</v>
      </c>
      <c r="F42" s="148">
        <v>27</v>
      </c>
      <c r="G42" s="149">
        <v>1</v>
      </c>
      <c r="H42" s="150" t="s">
        <v>1513</v>
      </c>
      <c r="I42" s="150" t="s">
        <v>35</v>
      </c>
      <c r="J42" s="150">
        <v>280</v>
      </c>
      <c r="K42" s="150">
        <v>24</v>
      </c>
      <c r="L42" s="150">
        <v>1</v>
      </c>
      <c r="M42" s="150">
        <v>4</v>
      </c>
      <c r="N42" s="150">
        <v>2007</v>
      </c>
      <c r="O42" s="151">
        <f t="shared" si="0"/>
        <v>19</v>
      </c>
      <c r="P42" s="152">
        <v>1</v>
      </c>
      <c r="Q42" s="153" t="s">
        <v>1566</v>
      </c>
      <c r="R42" s="153">
        <v>1</v>
      </c>
      <c r="S42" s="153">
        <v>0</v>
      </c>
      <c r="T42" s="154" t="s">
        <v>1492</v>
      </c>
      <c r="U42" s="154">
        <v>1</v>
      </c>
      <c r="V42" s="154">
        <v>0</v>
      </c>
      <c r="W42" s="154">
        <v>0</v>
      </c>
      <c r="X42" s="154">
        <v>1</v>
      </c>
      <c r="Y42" s="154">
        <v>0</v>
      </c>
      <c r="Z42" s="154">
        <v>0</v>
      </c>
      <c r="AA42" s="154">
        <v>0</v>
      </c>
      <c r="AB42" s="154">
        <v>0</v>
      </c>
      <c r="AC42" s="155" t="s">
        <v>1514</v>
      </c>
      <c r="AD42" s="156" t="s">
        <v>1496</v>
      </c>
      <c r="AE42" s="156">
        <v>20</v>
      </c>
      <c r="AF42" s="157">
        <v>1</v>
      </c>
      <c r="AG42" s="158" t="s">
        <v>1185</v>
      </c>
      <c r="AH42" s="159" t="s">
        <v>1499</v>
      </c>
      <c r="AI42" s="160">
        <v>0</v>
      </c>
      <c r="AJ42" s="160">
        <v>0</v>
      </c>
      <c r="AK42" s="160">
        <v>1</v>
      </c>
      <c r="AL42" s="160">
        <v>1</v>
      </c>
      <c r="AM42" s="160">
        <v>0</v>
      </c>
      <c r="AN42" s="161">
        <v>0</v>
      </c>
      <c r="AO42" s="160">
        <v>0</v>
      </c>
      <c r="AP42" s="149" t="s">
        <v>1501</v>
      </c>
      <c r="AQ42" s="167" t="s">
        <v>1546</v>
      </c>
      <c r="AR42" s="150" t="s">
        <v>1531</v>
      </c>
      <c r="AS42" s="150">
        <f t="shared" si="1"/>
        <v>1</v>
      </c>
      <c r="AT42" s="150">
        <v>1</v>
      </c>
      <c r="AU42" s="150">
        <v>0</v>
      </c>
      <c r="AV42" s="150">
        <f t="shared" si="2"/>
        <v>1</v>
      </c>
      <c r="AW42" s="150">
        <v>0</v>
      </c>
      <c r="AX42" s="150">
        <v>1</v>
      </c>
      <c r="AY42" s="150">
        <f t="shared" si="3"/>
        <v>1</v>
      </c>
      <c r="AZ42" s="150">
        <v>1</v>
      </c>
      <c r="BA42" s="150">
        <f t="shared" si="4"/>
        <v>0</v>
      </c>
      <c r="BB42" s="150">
        <v>0</v>
      </c>
      <c r="BC42" s="150">
        <f t="shared" si="5"/>
        <v>1</v>
      </c>
      <c r="BD42" s="150">
        <v>1</v>
      </c>
      <c r="BE42" s="150">
        <f t="shared" si="6"/>
        <v>0</v>
      </c>
      <c r="BF42" s="151">
        <v>0</v>
      </c>
      <c r="BG42" s="150">
        <v>0</v>
      </c>
      <c r="BH42" s="150">
        <f t="shared" ref="BH42" si="71">IF(OR(BI42=1),1,0)</f>
        <v>0</v>
      </c>
      <c r="BI42" s="150">
        <v>0</v>
      </c>
      <c r="BJ42" s="150">
        <f t="shared" ref="BJ42" si="72">IF(OR(BK42=1),1,0)</f>
        <v>0</v>
      </c>
      <c r="BK42" s="150">
        <v>0</v>
      </c>
      <c r="BL42" s="152">
        <v>1</v>
      </c>
      <c r="BM42" s="153" t="s">
        <v>1580</v>
      </c>
      <c r="BN42" s="153">
        <v>0</v>
      </c>
      <c r="BO42" s="153">
        <v>0</v>
      </c>
      <c r="BP42" s="162" t="s">
        <v>1530</v>
      </c>
    </row>
    <row r="43" spans="1:68" x14ac:dyDescent="0.2">
      <c r="A43" s="146" t="s">
        <v>1435</v>
      </c>
      <c r="B43" s="147" t="str">
        <f>Elevage!L42</f>
        <v>SAINT JOSEPH</v>
      </c>
      <c r="C43" s="163">
        <f>Elevage!B42</f>
        <v>46139</v>
      </c>
      <c r="D43" s="147">
        <v>0</v>
      </c>
      <c r="E43" s="148">
        <v>0</v>
      </c>
      <c r="F43" s="148">
        <v>23</v>
      </c>
      <c r="G43" s="149">
        <v>1</v>
      </c>
      <c r="H43" s="150" t="s">
        <v>1493</v>
      </c>
      <c r="I43" s="150" t="s">
        <v>35</v>
      </c>
      <c r="J43" s="150">
        <v>700</v>
      </c>
      <c r="K43" s="150">
        <v>45</v>
      </c>
      <c r="L43" s="150">
        <v>1</v>
      </c>
      <c r="M43" s="150">
        <v>7</v>
      </c>
      <c r="N43" s="150">
        <v>1998</v>
      </c>
      <c r="O43" s="151">
        <f t="shared" si="0"/>
        <v>28</v>
      </c>
      <c r="P43" s="152">
        <v>0</v>
      </c>
      <c r="Q43" s="153" t="s">
        <v>1492</v>
      </c>
      <c r="R43" s="153">
        <v>1</v>
      </c>
      <c r="S43" s="153">
        <v>1</v>
      </c>
      <c r="T43" s="154" t="s">
        <v>1485</v>
      </c>
      <c r="U43" s="154">
        <v>0</v>
      </c>
      <c r="V43" s="154">
        <v>0</v>
      </c>
      <c r="W43" s="154">
        <v>0</v>
      </c>
      <c r="X43" s="154">
        <v>0</v>
      </c>
      <c r="Y43" s="154">
        <v>0</v>
      </c>
      <c r="Z43" s="154">
        <v>0</v>
      </c>
      <c r="AA43" s="154">
        <v>0</v>
      </c>
      <c r="AB43" s="154">
        <v>0</v>
      </c>
      <c r="AC43" s="155" t="s">
        <v>1496</v>
      </c>
      <c r="AD43" s="156" t="s">
        <v>1496</v>
      </c>
      <c r="AE43" s="156">
        <v>35</v>
      </c>
      <c r="AF43" s="157">
        <v>1</v>
      </c>
      <c r="AG43" s="158" t="s">
        <v>1581</v>
      </c>
      <c r="AH43" s="159" t="s">
        <v>1499</v>
      </c>
      <c r="AI43" s="160">
        <v>1</v>
      </c>
      <c r="AJ43" s="160">
        <v>1</v>
      </c>
      <c r="AK43" s="160">
        <v>0</v>
      </c>
      <c r="AL43" s="160">
        <v>1</v>
      </c>
      <c r="AM43" s="160">
        <v>0</v>
      </c>
      <c r="AN43" s="161">
        <v>0</v>
      </c>
      <c r="AO43" s="160">
        <v>1</v>
      </c>
      <c r="AP43" s="149" t="s">
        <v>1513</v>
      </c>
      <c r="AQ43" s="167" t="s">
        <v>1544</v>
      </c>
      <c r="AR43" s="150" t="s">
        <v>1503</v>
      </c>
      <c r="AS43" s="150">
        <f t="shared" si="1"/>
        <v>1</v>
      </c>
      <c r="AT43" s="150">
        <v>1</v>
      </c>
      <c r="AU43" s="150">
        <v>0</v>
      </c>
      <c r="AV43" s="150">
        <f t="shared" si="2"/>
        <v>1</v>
      </c>
      <c r="AW43" s="150">
        <v>0</v>
      </c>
      <c r="AX43" s="150">
        <v>1</v>
      </c>
      <c r="AY43" s="150">
        <f t="shared" si="3"/>
        <v>1</v>
      </c>
      <c r="AZ43" s="150">
        <v>1</v>
      </c>
      <c r="BA43" s="150">
        <f t="shared" si="4"/>
        <v>0</v>
      </c>
      <c r="BB43" s="150">
        <v>0</v>
      </c>
      <c r="BC43" s="150">
        <f t="shared" si="5"/>
        <v>0</v>
      </c>
      <c r="BD43" s="150">
        <v>0</v>
      </c>
      <c r="BE43" s="150">
        <f t="shared" si="6"/>
        <v>0</v>
      </c>
      <c r="BF43" s="151">
        <v>0</v>
      </c>
      <c r="BG43" s="150">
        <v>0</v>
      </c>
      <c r="BH43" s="150">
        <f t="shared" ref="BH43" si="73">IF(OR(BI43=1),1,0)</f>
        <v>0</v>
      </c>
      <c r="BI43" s="150">
        <v>0</v>
      </c>
      <c r="BJ43" s="150">
        <f t="shared" ref="BJ43" si="74">IF(OR(BK43=1),1,0)</f>
        <v>0</v>
      </c>
      <c r="BK43" s="150">
        <v>0</v>
      </c>
      <c r="BL43" s="152">
        <v>1</v>
      </c>
      <c r="BM43" s="153" t="s">
        <v>1592</v>
      </c>
      <c r="BN43" s="153">
        <v>1</v>
      </c>
      <c r="BO43" s="153">
        <v>1</v>
      </c>
      <c r="BP43" s="162" t="s">
        <v>1553</v>
      </c>
    </row>
    <row r="44" spans="1:68" x14ac:dyDescent="0.2">
      <c r="A44" s="146" t="s">
        <v>1436</v>
      </c>
      <c r="B44" s="147" t="str">
        <f>Elevage!L43</f>
        <v>SAINT JOSEPH</v>
      </c>
      <c r="C44" s="163">
        <f>Elevage!B43</f>
        <v>46139</v>
      </c>
      <c r="D44" s="147">
        <v>0</v>
      </c>
      <c r="E44" s="148">
        <v>0</v>
      </c>
      <c r="G44" s="149">
        <v>2</v>
      </c>
      <c r="H44" s="150" t="s">
        <v>1505</v>
      </c>
      <c r="I44" s="150" t="s">
        <v>35</v>
      </c>
      <c r="J44" s="150">
        <v>400</v>
      </c>
      <c r="K44" s="150">
        <v>20</v>
      </c>
      <c r="L44" s="150">
        <v>1</v>
      </c>
      <c r="M44" s="150">
        <v>4</v>
      </c>
      <c r="P44" s="152">
        <v>0</v>
      </c>
      <c r="Q44" s="153" t="s">
        <v>1492</v>
      </c>
      <c r="R44" s="153">
        <v>1</v>
      </c>
      <c r="S44" s="153">
        <v>1</v>
      </c>
      <c r="T44" s="154" t="s">
        <v>1485</v>
      </c>
      <c r="U44" s="154">
        <v>0</v>
      </c>
      <c r="V44" s="154">
        <v>0</v>
      </c>
      <c r="W44" s="154">
        <v>0</v>
      </c>
      <c r="X44" s="154">
        <v>1</v>
      </c>
      <c r="Y44" s="154">
        <v>0</v>
      </c>
      <c r="Z44" s="154">
        <v>0</v>
      </c>
      <c r="AA44" s="154">
        <v>1</v>
      </c>
      <c r="AB44" s="154">
        <v>0</v>
      </c>
      <c r="AC44" s="155" t="s">
        <v>1496</v>
      </c>
      <c r="AD44" s="156" t="s">
        <v>1496</v>
      </c>
      <c r="AE44" s="156">
        <v>55</v>
      </c>
      <c r="AF44" s="157">
        <v>1</v>
      </c>
      <c r="AG44" s="158" t="s">
        <v>1581</v>
      </c>
      <c r="AH44" s="159" t="s">
        <v>1499</v>
      </c>
      <c r="AI44" s="160">
        <v>0</v>
      </c>
      <c r="AJ44" s="160">
        <v>0</v>
      </c>
      <c r="AK44" s="160">
        <v>0</v>
      </c>
      <c r="AL44" s="160">
        <v>0</v>
      </c>
      <c r="AM44" s="160">
        <v>0</v>
      </c>
      <c r="AN44" s="161">
        <v>0</v>
      </c>
      <c r="AO44" s="160">
        <v>0</v>
      </c>
      <c r="AP44" s="149" t="s">
        <v>1513</v>
      </c>
      <c r="AQ44" s="167" t="s">
        <v>1546</v>
      </c>
      <c r="AR44" s="150" t="s">
        <v>1503</v>
      </c>
      <c r="AS44" s="150">
        <f t="shared" si="1"/>
        <v>1</v>
      </c>
      <c r="AT44" s="150">
        <v>1</v>
      </c>
      <c r="AU44" s="150">
        <v>0</v>
      </c>
      <c r="AV44" s="150">
        <f t="shared" si="2"/>
        <v>1</v>
      </c>
      <c r="AW44" s="150">
        <v>0</v>
      </c>
      <c r="AX44" s="150">
        <v>1</v>
      </c>
      <c r="AY44" s="150">
        <f t="shared" si="3"/>
        <v>0</v>
      </c>
      <c r="AZ44" s="150">
        <v>0</v>
      </c>
      <c r="BA44" s="150">
        <f t="shared" si="4"/>
        <v>0</v>
      </c>
      <c r="BB44" s="150">
        <v>0</v>
      </c>
      <c r="BC44" s="150">
        <f t="shared" si="5"/>
        <v>0</v>
      </c>
      <c r="BD44" s="150">
        <v>0</v>
      </c>
      <c r="BE44" s="150">
        <f t="shared" si="6"/>
        <v>0</v>
      </c>
      <c r="BF44" s="151">
        <v>0</v>
      </c>
      <c r="BG44" s="150">
        <v>0</v>
      </c>
      <c r="BH44" s="150">
        <f t="shared" ref="BH44" si="75">IF(OR(BI44=1),1,0)</f>
        <v>0</v>
      </c>
      <c r="BI44" s="150">
        <v>0</v>
      </c>
      <c r="BJ44" s="150">
        <f t="shared" ref="BJ44" si="76">IF(OR(BK44=1),1,0)</f>
        <v>0</v>
      </c>
      <c r="BK44" s="150">
        <v>0</v>
      </c>
      <c r="BL44" s="152">
        <v>1</v>
      </c>
      <c r="BM44" s="153" t="s">
        <v>1582</v>
      </c>
      <c r="BN44" s="153">
        <v>0</v>
      </c>
      <c r="BO44" s="153">
        <v>0</v>
      </c>
      <c r="BP44" s="162" t="s">
        <v>1530</v>
      </c>
    </row>
    <row r="45" spans="1:68" x14ac:dyDescent="0.2">
      <c r="A45" s="146" t="s">
        <v>1437</v>
      </c>
      <c r="B45" s="147" t="str">
        <f>Elevage!L44</f>
        <v>SAINT JOSEPH</v>
      </c>
      <c r="C45" s="163">
        <f>Elevage!B44</f>
        <v>46139</v>
      </c>
      <c r="D45" s="147">
        <v>0</v>
      </c>
      <c r="E45" s="148">
        <v>0</v>
      </c>
      <c r="G45" s="149">
        <v>1</v>
      </c>
      <c r="H45" s="150" t="s">
        <v>1505</v>
      </c>
      <c r="I45" s="150" t="s">
        <v>35</v>
      </c>
      <c r="J45" s="150">
        <v>250</v>
      </c>
      <c r="K45" s="150">
        <v>24</v>
      </c>
      <c r="L45" s="150">
        <v>1</v>
      </c>
      <c r="M45" s="150">
        <v>4</v>
      </c>
      <c r="N45" s="150">
        <v>1998</v>
      </c>
      <c r="O45" s="151">
        <f t="shared" si="0"/>
        <v>28</v>
      </c>
      <c r="P45" s="152">
        <v>0</v>
      </c>
      <c r="Q45" s="153" t="s">
        <v>1492</v>
      </c>
      <c r="R45" s="153">
        <v>1</v>
      </c>
      <c r="S45" s="153">
        <v>0</v>
      </c>
      <c r="T45" s="154" t="s">
        <v>1492</v>
      </c>
      <c r="U45" s="154">
        <v>0</v>
      </c>
      <c r="V45" s="154">
        <v>0</v>
      </c>
      <c r="W45" s="154">
        <v>1</v>
      </c>
      <c r="X45" s="154">
        <v>0</v>
      </c>
      <c r="Y45" s="154">
        <v>0</v>
      </c>
      <c r="Z45" s="154">
        <v>0</v>
      </c>
      <c r="AA45" s="154">
        <v>0</v>
      </c>
      <c r="AB45" s="154">
        <v>0</v>
      </c>
      <c r="AC45" s="155" t="s">
        <v>1514</v>
      </c>
      <c r="AD45" s="156" t="s">
        <v>1496</v>
      </c>
      <c r="AF45" s="157">
        <v>0</v>
      </c>
      <c r="AG45" s="158" t="s">
        <v>1492</v>
      </c>
      <c r="AH45" s="159" t="s">
        <v>1499</v>
      </c>
      <c r="AI45" s="160">
        <v>0</v>
      </c>
      <c r="AJ45" s="160">
        <v>0</v>
      </c>
      <c r="AK45" s="160">
        <v>0</v>
      </c>
      <c r="AL45" s="160">
        <v>1</v>
      </c>
      <c r="AM45" s="160">
        <v>0</v>
      </c>
      <c r="AN45" s="161">
        <v>0</v>
      </c>
      <c r="AO45" s="160">
        <v>0</v>
      </c>
      <c r="AP45" s="149" t="s">
        <v>1501</v>
      </c>
      <c r="AQ45" s="167" t="s">
        <v>1545</v>
      </c>
      <c r="AR45" s="150" t="s">
        <v>1503</v>
      </c>
      <c r="AS45" s="150">
        <f t="shared" si="1"/>
        <v>1</v>
      </c>
      <c r="AT45" s="150">
        <v>1</v>
      </c>
      <c r="AU45" s="150">
        <v>0</v>
      </c>
      <c r="AV45" s="150">
        <f t="shared" si="2"/>
        <v>0</v>
      </c>
      <c r="AW45" s="150">
        <v>0</v>
      </c>
      <c r="AX45" s="150">
        <v>0</v>
      </c>
      <c r="AY45" s="150">
        <f t="shared" si="3"/>
        <v>1</v>
      </c>
      <c r="AZ45" s="150">
        <v>1</v>
      </c>
      <c r="BA45" s="150">
        <f t="shared" si="4"/>
        <v>0</v>
      </c>
      <c r="BB45" s="150">
        <v>0</v>
      </c>
      <c r="BC45" s="150">
        <f t="shared" si="5"/>
        <v>0</v>
      </c>
      <c r="BD45" s="150">
        <v>0</v>
      </c>
      <c r="BE45" s="150">
        <f t="shared" si="6"/>
        <v>1</v>
      </c>
      <c r="BF45" s="151">
        <v>0</v>
      </c>
      <c r="BG45" s="150">
        <v>1</v>
      </c>
      <c r="BH45" s="150">
        <f t="shared" ref="BH45" si="77">IF(OR(BI45=1),1,0)</f>
        <v>0</v>
      </c>
      <c r="BI45" s="150">
        <v>0</v>
      </c>
      <c r="BJ45" s="150">
        <f t="shared" ref="BJ45" si="78">IF(OR(BK45=1),1,0)</f>
        <v>0</v>
      </c>
      <c r="BK45" s="150">
        <v>0</v>
      </c>
      <c r="BL45" s="152">
        <v>1</v>
      </c>
      <c r="BM45" s="153" t="s">
        <v>1583</v>
      </c>
      <c r="BN45" s="153">
        <v>0</v>
      </c>
      <c r="BO45" s="153">
        <v>0</v>
      </c>
      <c r="BP45" s="162" t="s">
        <v>1530</v>
      </c>
    </row>
    <row r="46" spans="1:68" x14ac:dyDescent="0.2">
      <c r="A46" s="146" t="s">
        <v>1438</v>
      </c>
      <c r="B46" s="147" t="str">
        <f>Elevage!L45</f>
        <v>SAINT JOSEPH</v>
      </c>
      <c r="C46" s="163">
        <f>Elevage!B45</f>
        <v>46139</v>
      </c>
      <c r="D46" s="147">
        <v>0</v>
      </c>
      <c r="E46" s="148">
        <v>0</v>
      </c>
      <c r="F46" s="148">
        <v>26</v>
      </c>
      <c r="G46" s="149">
        <v>2</v>
      </c>
      <c r="H46" s="150" t="s">
        <v>1493</v>
      </c>
      <c r="I46" s="150" t="s">
        <v>35</v>
      </c>
      <c r="J46" s="150">
        <v>500</v>
      </c>
      <c r="K46" s="150">
        <v>38</v>
      </c>
      <c r="L46" s="150">
        <v>1</v>
      </c>
      <c r="M46" s="150">
        <v>4</v>
      </c>
      <c r="N46" s="150">
        <v>1980</v>
      </c>
      <c r="O46" s="151">
        <f t="shared" si="0"/>
        <v>46</v>
      </c>
      <c r="P46" s="152">
        <v>0</v>
      </c>
      <c r="Q46" s="153" t="s">
        <v>1492</v>
      </c>
      <c r="R46" s="153">
        <v>1</v>
      </c>
      <c r="S46" s="153">
        <v>1</v>
      </c>
      <c r="T46" s="154" t="s">
        <v>1487</v>
      </c>
      <c r="U46" s="154">
        <v>0</v>
      </c>
      <c r="V46" s="154">
        <v>0</v>
      </c>
      <c r="W46" s="154">
        <v>1</v>
      </c>
      <c r="X46" s="154">
        <v>0</v>
      </c>
      <c r="Y46" s="154">
        <v>0</v>
      </c>
      <c r="Z46" s="154">
        <v>0</v>
      </c>
      <c r="AA46" s="154">
        <v>0</v>
      </c>
      <c r="AB46" s="154">
        <v>0</v>
      </c>
      <c r="AC46" s="155" t="s">
        <v>1496</v>
      </c>
      <c r="AD46" s="156" t="s">
        <v>1496</v>
      </c>
      <c r="AE46" s="156">
        <v>35</v>
      </c>
      <c r="AF46" s="157">
        <v>1</v>
      </c>
      <c r="AG46" s="158" t="s">
        <v>1578</v>
      </c>
      <c r="AH46" s="159" t="s">
        <v>1499</v>
      </c>
      <c r="AI46" s="160">
        <v>1</v>
      </c>
      <c r="AJ46" s="160">
        <v>0</v>
      </c>
      <c r="AK46" s="160">
        <v>0</v>
      </c>
      <c r="AL46" s="160">
        <v>1</v>
      </c>
      <c r="AM46" s="160">
        <v>0</v>
      </c>
      <c r="AN46" s="161">
        <v>0</v>
      </c>
      <c r="AO46" s="160">
        <v>1</v>
      </c>
      <c r="AP46" s="149" t="s">
        <v>1501</v>
      </c>
      <c r="AQ46" s="167" t="s">
        <v>1545</v>
      </c>
      <c r="AR46" s="150" t="s">
        <v>1503</v>
      </c>
      <c r="AS46" s="150">
        <f t="shared" si="1"/>
        <v>1</v>
      </c>
      <c r="AT46" s="150">
        <v>1</v>
      </c>
      <c r="AU46" s="150">
        <v>0</v>
      </c>
      <c r="AV46" s="150">
        <f t="shared" si="2"/>
        <v>1</v>
      </c>
      <c r="AW46" s="150">
        <v>0</v>
      </c>
      <c r="AX46" s="150">
        <v>1</v>
      </c>
      <c r="AY46" s="150">
        <f t="shared" si="3"/>
        <v>0</v>
      </c>
      <c r="AZ46" s="150">
        <v>0</v>
      </c>
      <c r="BA46" s="150">
        <f t="shared" si="4"/>
        <v>0</v>
      </c>
      <c r="BB46" s="150">
        <v>0</v>
      </c>
      <c r="BC46" s="150">
        <f t="shared" si="5"/>
        <v>0</v>
      </c>
      <c r="BD46" s="150">
        <v>0</v>
      </c>
      <c r="BE46" s="150">
        <f t="shared" si="6"/>
        <v>1</v>
      </c>
      <c r="BF46" s="151">
        <v>0</v>
      </c>
      <c r="BG46" s="150">
        <v>1</v>
      </c>
      <c r="BH46" s="150">
        <f t="shared" ref="BH46" si="79">IF(OR(BI46=1),1,0)</f>
        <v>0</v>
      </c>
      <c r="BI46" s="150">
        <v>0</v>
      </c>
      <c r="BJ46" s="150">
        <f t="shared" ref="BJ46" si="80">IF(OR(BK46=1),1,0)</f>
        <v>0</v>
      </c>
      <c r="BK46" s="150">
        <v>0</v>
      </c>
      <c r="BL46" s="152">
        <v>1</v>
      </c>
      <c r="BM46" s="153" t="s">
        <v>1618</v>
      </c>
      <c r="BN46" s="153">
        <v>1</v>
      </c>
      <c r="BO46" s="153">
        <v>0</v>
      </c>
      <c r="BP46" s="162" t="s">
        <v>1621</v>
      </c>
    </row>
    <row r="47" spans="1:68" x14ac:dyDescent="0.2">
      <c r="A47" s="146" t="s">
        <v>1439</v>
      </c>
      <c r="B47" s="147" t="str">
        <f>Elevage!L46</f>
        <v>AVIRONS/ SAINT LEU</v>
      </c>
      <c r="C47" s="163">
        <f>Elevage!B46</f>
        <v>46139</v>
      </c>
      <c r="D47" s="147">
        <v>1</v>
      </c>
      <c r="E47" s="148">
        <v>0</v>
      </c>
      <c r="H47" s="150" t="s">
        <v>1505</v>
      </c>
      <c r="I47" s="150" t="s">
        <v>35</v>
      </c>
      <c r="O47" s="151">
        <f t="shared" si="0"/>
        <v>2026</v>
      </c>
      <c r="U47" s="154">
        <v>0</v>
      </c>
      <c r="V47" s="154">
        <v>0</v>
      </c>
      <c r="W47" s="154">
        <v>0</v>
      </c>
      <c r="X47" s="154">
        <v>0</v>
      </c>
      <c r="Y47" s="154">
        <v>0</v>
      </c>
      <c r="Z47" s="154">
        <v>0</v>
      </c>
      <c r="AA47" s="154">
        <v>0</v>
      </c>
      <c r="AB47" s="154">
        <v>0</v>
      </c>
      <c r="AD47" s="156" t="s">
        <v>1496</v>
      </c>
      <c r="AH47" s="159" t="s">
        <v>1499</v>
      </c>
      <c r="AI47" s="160">
        <v>0</v>
      </c>
      <c r="AJ47" s="160">
        <v>0</v>
      </c>
      <c r="AK47" s="160">
        <v>0</v>
      </c>
      <c r="AL47" s="160">
        <v>0</v>
      </c>
      <c r="AM47" s="160">
        <v>0</v>
      </c>
      <c r="AN47" s="161">
        <v>0</v>
      </c>
      <c r="AO47" s="160">
        <v>0</v>
      </c>
      <c r="AQ47" s="167"/>
      <c r="AR47" s="150" t="s">
        <v>1503</v>
      </c>
      <c r="AS47" s="150">
        <f t="shared" si="1"/>
        <v>0</v>
      </c>
      <c r="AT47" s="150">
        <v>0</v>
      </c>
      <c r="AU47" s="150">
        <v>0</v>
      </c>
      <c r="AV47" s="150">
        <f t="shared" si="2"/>
        <v>0</v>
      </c>
      <c r="AW47" s="150">
        <v>0</v>
      </c>
      <c r="AX47" s="150">
        <v>0</v>
      </c>
      <c r="AY47" s="150">
        <f t="shared" si="3"/>
        <v>0</v>
      </c>
      <c r="AZ47" s="150">
        <v>0</v>
      </c>
      <c r="BA47" s="150">
        <f t="shared" si="4"/>
        <v>0</v>
      </c>
      <c r="BB47" s="150">
        <v>0</v>
      </c>
      <c r="BC47" s="150">
        <f t="shared" si="5"/>
        <v>0</v>
      </c>
      <c r="BD47" s="150">
        <v>0</v>
      </c>
      <c r="BE47" s="150">
        <f t="shared" si="6"/>
        <v>0</v>
      </c>
      <c r="BF47" s="151">
        <v>0</v>
      </c>
      <c r="BG47" s="150">
        <v>0</v>
      </c>
      <c r="BH47" s="150">
        <f t="shared" ref="BH47" si="81">IF(OR(BI47=1),1,0)</f>
        <v>0</v>
      </c>
      <c r="BI47" s="150">
        <v>0</v>
      </c>
      <c r="BJ47" s="150">
        <f t="shared" ref="BJ47" si="82">IF(OR(BK47=1),1,0)</f>
        <v>0</v>
      </c>
      <c r="BK47" s="150">
        <v>0</v>
      </c>
    </row>
    <row r="48" spans="1:68" x14ac:dyDescent="0.2">
      <c r="A48" s="146" t="s">
        <v>1440</v>
      </c>
      <c r="B48" s="147" t="str">
        <f>Elevage!L47</f>
        <v>SAINT JOSEPH</v>
      </c>
      <c r="C48" s="163">
        <f>Elevage!B47</f>
        <v>46141</v>
      </c>
      <c r="D48" s="147">
        <v>0</v>
      </c>
      <c r="E48" s="148">
        <v>0</v>
      </c>
      <c r="F48" s="148">
        <v>24</v>
      </c>
      <c r="G48" s="149">
        <v>5</v>
      </c>
      <c r="H48" s="150" t="s">
        <v>1493</v>
      </c>
      <c r="I48" s="150" t="s">
        <v>35</v>
      </c>
      <c r="J48" s="150">
        <v>1200</v>
      </c>
      <c r="K48" s="150">
        <v>100</v>
      </c>
      <c r="L48" s="150">
        <v>1</v>
      </c>
      <c r="M48" s="150">
        <v>5</v>
      </c>
      <c r="N48" s="150">
        <v>1992</v>
      </c>
      <c r="O48" s="151">
        <f t="shared" si="0"/>
        <v>34</v>
      </c>
      <c r="P48" s="152">
        <v>0</v>
      </c>
      <c r="Q48" s="153" t="s">
        <v>1492</v>
      </c>
      <c r="R48" s="153">
        <v>0</v>
      </c>
      <c r="S48" s="153">
        <v>1</v>
      </c>
      <c r="T48" s="154" t="s">
        <v>1485</v>
      </c>
      <c r="U48" s="154">
        <v>0</v>
      </c>
      <c r="V48" s="154">
        <v>0</v>
      </c>
      <c r="W48" s="154">
        <v>0</v>
      </c>
      <c r="X48" s="154">
        <v>0</v>
      </c>
      <c r="Y48" s="154">
        <v>1</v>
      </c>
      <c r="Z48" s="154">
        <v>0</v>
      </c>
      <c r="AA48" s="154">
        <v>1</v>
      </c>
      <c r="AB48" s="154">
        <v>0</v>
      </c>
      <c r="AC48" s="155" t="s">
        <v>1496</v>
      </c>
      <c r="AD48" s="156" t="s">
        <v>1495</v>
      </c>
      <c r="AE48" s="156">
        <v>40</v>
      </c>
      <c r="AF48" s="157">
        <v>1</v>
      </c>
      <c r="AG48" s="158" t="s">
        <v>1584</v>
      </c>
      <c r="AH48" s="159" t="s">
        <v>1499</v>
      </c>
      <c r="AI48" s="160">
        <v>0</v>
      </c>
      <c r="AJ48" s="160">
        <v>0</v>
      </c>
      <c r="AK48" s="160">
        <v>1</v>
      </c>
      <c r="AL48" s="160">
        <v>1</v>
      </c>
      <c r="AM48" s="160">
        <v>0</v>
      </c>
      <c r="AN48" s="161">
        <v>0</v>
      </c>
      <c r="AO48" s="160">
        <v>1</v>
      </c>
      <c r="AP48" s="149" t="s">
        <v>1501</v>
      </c>
      <c r="AQ48" s="167" t="s">
        <v>1544</v>
      </c>
      <c r="AR48" s="150" t="s">
        <v>1503</v>
      </c>
      <c r="AS48" s="150">
        <f t="shared" si="1"/>
        <v>1</v>
      </c>
      <c r="AT48" s="150">
        <v>1</v>
      </c>
      <c r="AU48" s="150">
        <v>0</v>
      </c>
      <c r="AV48" s="150">
        <f t="shared" si="2"/>
        <v>0</v>
      </c>
      <c r="AW48" s="150">
        <v>0</v>
      </c>
      <c r="AX48" s="150">
        <v>0</v>
      </c>
      <c r="AY48" s="150">
        <f t="shared" si="3"/>
        <v>1</v>
      </c>
      <c r="AZ48" s="150">
        <v>1</v>
      </c>
      <c r="BA48" s="150">
        <f t="shared" si="4"/>
        <v>0</v>
      </c>
      <c r="BB48" s="150">
        <v>0</v>
      </c>
      <c r="BC48" s="150">
        <f t="shared" si="5"/>
        <v>0</v>
      </c>
      <c r="BD48" s="150">
        <v>0</v>
      </c>
      <c r="BE48" s="150">
        <f t="shared" si="6"/>
        <v>0</v>
      </c>
      <c r="BF48" s="151">
        <v>0</v>
      </c>
      <c r="BG48" s="150">
        <v>0</v>
      </c>
      <c r="BH48" s="150">
        <f t="shared" ref="BH48" si="83">IF(OR(BI48=1),1,0)</f>
        <v>0</v>
      </c>
      <c r="BI48" s="150">
        <v>0</v>
      </c>
      <c r="BJ48" s="150">
        <f t="shared" ref="BJ48" si="84">IF(OR(BK48=1),1,0)</f>
        <v>0</v>
      </c>
      <c r="BK48" s="150">
        <v>0</v>
      </c>
      <c r="BL48" s="152">
        <v>1</v>
      </c>
      <c r="BM48" s="153" t="s">
        <v>1567</v>
      </c>
      <c r="BN48" s="153">
        <v>0</v>
      </c>
      <c r="BO48" s="153">
        <v>1</v>
      </c>
      <c r="BP48" s="162" t="s">
        <v>1553</v>
      </c>
    </row>
    <row r="49" spans="1:68" x14ac:dyDescent="0.2">
      <c r="A49" s="146" t="s">
        <v>1441</v>
      </c>
      <c r="B49" s="147" t="str">
        <f>Elevage!L48</f>
        <v>SAINT PIERRE / PETITE ILE</v>
      </c>
      <c r="C49" s="163">
        <f>Elevage!B48</f>
        <v>46141</v>
      </c>
      <c r="D49" s="147">
        <v>0</v>
      </c>
      <c r="E49" s="148">
        <v>0</v>
      </c>
      <c r="H49" s="150" t="s">
        <v>1493</v>
      </c>
      <c r="I49" s="150" t="s">
        <v>35</v>
      </c>
      <c r="O49" s="151">
        <f t="shared" si="0"/>
        <v>2026</v>
      </c>
      <c r="U49" s="154">
        <v>0</v>
      </c>
      <c r="V49" s="154">
        <v>0</v>
      </c>
      <c r="W49" s="154">
        <v>0</v>
      </c>
      <c r="X49" s="154">
        <v>0</v>
      </c>
      <c r="Y49" s="154">
        <v>0</v>
      </c>
      <c r="Z49" s="154">
        <v>0</v>
      </c>
      <c r="AA49" s="154">
        <v>0</v>
      </c>
      <c r="AB49" s="154">
        <v>0</v>
      </c>
      <c r="AD49" s="156" t="s">
        <v>1496</v>
      </c>
      <c r="AH49" s="159" t="s">
        <v>1499</v>
      </c>
      <c r="AI49" s="160">
        <v>0</v>
      </c>
      <c r="AJ49" s="160">
        <v>0</v>
      </c>
      <c r="AK49" s="160">
        <v>0</v>
      </c>
      <c r="AL49" s="160">
        <v>0</v>
      </c>
      <c r="AM49" s="160">
        <v>0</v>
      </c>
      <c r="AN49" s="161">
        <v>0</v>
      </c>
      <c r="AO49" s="160">
        <v>0</v>
      </c>
      <c r="AQ49" s="167"/>
      <c r="AR49" s="150" t="s">
        <v>1503</v>
      </c>
      <c r="AS49" s="150">
        <f t="shared" si="1"/>
        <v>0</v>
      </c>
      <c r="AT49" s="150">
        <v>0</v>
      </c>
      <c r="AU49" s="150">
        <v>0</v>
      </c>
      <c r="AV49" s="150">
        <f t="shared" si="2"/>
        <v>0</v>
      </c>
      <c r="AW49" s="150">
        <v>0</v>
      </c>
      <c r="AX49" s="150">
        <v>0</v>
      </c>
      <c r="AY49" s="150">
        <f t="shared" si="3"/>
        <v>0</v>
      </c>
      <c r="AZ49" s="150">
        <v>0</v>
      </c>
      <c r="BA49" s="150">
        <f t="shared" si="4"/>
        <v>0</v>
      </c>
      <c r="BB49" s="150">
        <v>0</v>
      </c>
      <c r="BC49" s="150">
        <f t="shared" si="5"/>
        <v>0</v>
      </c>
      <c r="BD49" s="150">
        <v>0</v>
      </c>
      <c r="BE49" s="150">
        <f t="shared" si="6"/>
        <v>0</v>
      </c>
      <c r="BF49" s="151">
        <v>0</v>
      </c>
      <c r="BG49" s="150">
        <v>0</v>
      </c>
      <c r="BH49" s="150">
        <f t="shared" ref="BH49" si="85">IF(OR(BI49=1),1,0)</f>
        <v>0</v>
      </c>
      <c r="BI49" s="150">
        <v>0</v>
      </c>
      <c r="BJ49" s="150">
        <f t="shared" ref="BJ49" si="86">IF(OR(BK49=1),1,0)</f>
        <v>0</v>
      </c>
      <c r="BK49" s="150">
        <v>0</v>
      </c>
    </row>
    <row r="50" spans="1:68" x14ac:dyDescent="0.2">
      <c r="A50" s="146" t="s">
        <v>1442</v>
      </c>
      <c r="B50" s="147" t="str">
        <f>Elevage!L49</f>
        <v>SAINT JOSEPH</v>
      </c>
      <c r="C50" s="163">
        <f>Elevage!B49</f>
        <v>46141</v>
      </c>
      <c r="D50" s="147">
        <v>0</v>
      </c>
      <c r="E50" s="148">
        <v>0</v>
      </c>
      <c r="F50" s="148">
        <v>28</v>
      </c>
      <c r="G50" s="149">
        <v>1</v>
      </c>
      <c r="H50" s="150" t="s">
        <v>1493</v>
      </c>
      <c r="I50" s="150" t="s">
        <v>35</v>
      </c>
      <c r="J50" s="150">
        <v>450</v>
      </c>
      <c r="K50" s="150">
        <v>32</v>
      </c>
      <c r="L50" s="150">
        <v>1</v>
      </c>
      <c r="M50" s="150">
        <v>5</v>
      </c>
      <c r="N50" s="150">
        <v>2011</v>
      </c>
      <c r="O50" s="151">
        <f t="shared" si="0"/>
        <v>15</v>
      </c>
      <c r="P50" s="152">
        <v>0</v>
      </c>
      <c r="Q50" s="153" t="s">
        <v>1492</v>
      </c>
      <c r="R50" s="153">
        <v>0</v>
      </c>
      <c r="S50" s="153">
        <v>1</v>
      </c>
      <c r="T50" s="154" t="s">
        <v>1487</v>
      </c>
      <c r="U50" s="154">
        <v>0</v>
      </c>
      <c r="V50" s="154">
        <v>0</v>
      </c>
      <c r="W50" s="154">
        <v>0</v>
      </c>
      <c r="X50" s="154">
        <v>1</v>
      </c>
      <c r="Y50" s="154">
        <v>0</v>
      </c>
      <c r="Z50" s="154">
        <v>0</v>
      </c>
      <c r="AA50" s="154">
        <v>1</v>
      </c>
      <c r="AB50" s="154">
        <v>0</v>
      </c>
      <c r="AC50" s="155" t="s">
        <v>1496</v>
      </c>
      <c r="AD50" s="156" t="s">
        <v>1496</v>
      </c>
      <c r="AE50" s="156">
        <v>45</v>
      </c>
      <c r="AF50" s="157">
        <v>1</v>
      </c>
      <c r="AG50" s="158" t="s">
        <v>1584</v>
      </c>
      <c r="AH50" s="159" t="s">
        <v>1499</v>
      </c>
      <c r="AI50" s="160">
        <v>1</v>
      </c>
      <c r="AJ50" s="160">
        <v>1</v>
      </c>
      <c r="AK50" s="160">
        <v>0</v>
      </c>
      <c r="AL50" s="160">
        <v>1</v>
      </c>
      <c r="AM50" s="160">
        <v>0</v>
      </c>
      <c r="AN50" s="161">
        <v>1</v>
      </c>
      <c r="AO50" s="160">
        <v>1</v>
      </c>
      <c r="AP50" s="149" t="s">
        <v>1513</v>
      </c>
      <c r="AQ50" s="167" t="s">
        <v>1544</v>
      </c>
      <c r="AR50" s="150" t="s">
        <v>1503</v>
      </c>
      <c r="AS50" s="150">
        <f t="shared" si="1"/>
        <v>1</v>
      </c>
      <c r="AT50" s="150">
        <v>1</v>
      </c>
      <c r="AU50" s="150">
        <v>0</v>
      </c>
      <c r="AV50" s="150">
        <f t="shared" si="2"/>
        <v>1</v>
      </c>
      <c r="AW50" s="150">
        <v>1</v>
      </c>
      <c r="AX50" s="150">
        <v>1</v>
      </c>
      <c r="AY50" s="150">
        <f t="shared" si="3"/>
        <v>1</v>
      </c>
      <c r="AZ50" s="150">
        <v>1</v>
      </c>
      <c r="BA50" s="150">
        <f t="shared" si="4"/>
        <v>0</v>
      </c>
      <c r="BB50" s="150">
        <v>0</v>
      </c>
      <c r="BC50" s="150">
        <f t="shared" si="5"/>
        <v>0</v>
      </c>
      <c r="BD50" s="150">
        <v>0</v>
      </c>
      <c r="BE50" s="150">
        <f t="shared" si="6"/>
        <v>0</v>
      </c>
      <c r="BF50" s="151">
        <v>0</v>
      </c>
      <c r="BG50" s="150">
        <v>0</v>
      </c>
      <c r="BH50" s="150">
        <f t="shared" ref="BH50" si="87">IF(OR(BI50=1),1,0)</f>
        <v>0</v>
      </c>
      <c r="BI50" s="150">
        <v>0</v>
      </c>
      <c r="BJ50" s="150">
        <f t="shared" ref="BJ50" si="88">IF(OR(BK50=1),1,0)</f>
        <v>0</v>
      </c>
      <c r="BK50" s="150">
        <v>0</v>
      </c>
      <c r="BL50" s="152">
        <v>1</v>
      </c>
      <c r="BM50" s="153" t="s">
        <v>1585</v>
      </c>
      <c r="BN50" s="153">
        <v>1</v>
      </c>
      <c r="BO50" s="153">
        <v>0</v>
      </c>
      <c r="BP50" s="162" t="s">
        <v>1530</v>
      </c>
    </row>
    <row r="51" spans="1:68" x14ac:dyDescent="0.2">
      <c r="A51" s="146" t="s">
        <v>1443</v>
      </c>
      <c r="B51" s="147" t="str">
        <f>Elevage!L50</f>
        <v>SAINT JOSEPH</v>
      </c>
      <c r="C51" s="163">
        <f>Elevage!B50</f>
        <v>46141</v>
      </c>
      <c r="D51" s="147">
        <v>0</v>
      </c>
      <c r="E51" s="148">
        <v>0</v>
      </c>
      <c r="F51" s="148">
        <v>22</v>
      </c>
      <c r="G51" s="149">
        <v>1</v>
      </c>
      <c r="H51" s="150" t="s">
        <v>1493</v>
      </c>
      <c r="I51" s="150" t="s">
        <v>35</v>
      </c>
      <c r="J51" s="150">
        <v>450</v>
      </c>
      <c r="K51" s="150">
        <v>32</v>
      </c>
      <c r="L51" s="150">
        <v>1</v>
      </c>
      <c r="M51" s="150">
        <v>5</v>
      </c>
      <c r="N51" s="150">
        <v>2023</v>
      </c>
      <c r="O51" s="151">
        <f t="shared" si="0"/>
        <v>3</v>
      </c>
      <c r="P51" s="152">
        <v>0</v>
      </c>
      <c r="Q51" s="153" t="s">
        <v>1492</v>
      </c>
      <c r="R51" s="153">
        <v>0</v>
      </c>
      <c r="S51" s="153">
        <v>1</v>
      </c>
      <c r="T51" s="154" t="s">
        <v>1586</v>
      </c>
      <c r="U51" s="154">
        <v>0</v>
      </c>
      <c r="V51" s="154">
        <v>0</v>
      </c>
      <c r="W51" s="154">
        <v>0</v>
      </c>
      <c r="X51" s="154">
        <v>1</v>
      </c>
      <c r="Y51" s="154">
        <v>0</v>
      </c>
      <c r="Z51" s="154">
        <v>0</v>
      </c>
      <c r="AA51" s="154">
        <v>1</v>
      </c>
      <c r="AB51" s="154">
        <v>0</v>
      </c>
      <c r="AC51" s="155" t="s">
        <v>1496</v>
      </c>
      <c r="AD51" s="156" t="s">
        <v>1496</v>
      </c>
      <c r="AE51" s="156">
        <v>40</v>
      </c>
      <c r="AF51" s="157">
        <v>1</v>
      </c>
      <c r="AG51" s="158" t="s">
        <v>1584</v>
      </c>
      <c r="AH51" s="159" t="s">
        <v>1499</v>
      </c>
      <c r="AI51" s="160">
        <v>1</v>
      </c>
      <c r="AJ51" s="160">
        <v>1</v>
      </c>
      <c r="AK51" s="160">
        <v>1</v>
      </c>
      <c r="AL51" s="160">
        <v>1</v>
      </c>
      <c r="AM51" s="160">
        <v>0</v>
      </c>
      <c r="AN51" s="161">
        <v>0</v>
      </c>
      <c r="AO51" s="160">
        <v>1</v>
      </c>
      <c r="AP51" s="149" t="s">
        <v>1501</v>
      </c>
      <c r="AQ51" s="167" t="s">
        <v>1546</v>
      </c>
      <c r="AR51" s="150" t="s">
        <v>1503</v>
      </c>
      <c r="AS51" s="150">
        <f t="shared" si="1"/>
        <v>1</v>
      </c>
      <c r="AT51" s="150">
        <v>1</v>
      </c>
      <c r="AU51" s="150">
        <v>1</v>
      </c>
      <c r="AV51" s="150">
        <f t="shared" si="2"/>
        <v>0</v>
      </c>
      <c r="AW51" s="150">
        <v>0</v>
      </c>
      <c r="AX51" s="150">
        <v>0</v>
      </c>
      <c r="AY51" s="150">
        <f t="shared" si="3"/>
        <v>1</v>
      </c>
      <c r="AZ51" s="150">
        <v>1</v>
      </c>
      <c r="BA51" s="150">
        <f t="shared" si="4"/>
        <v>0</v>
      </c>
      <c r="BB51" s="150">
        <v>0</v>
      </c>
      <c r="BC51" s="150">
        <f t="shared" si="5"/>
        <v>0</v>
      </c>
      <c r="BD51" s="150">
        <v>0</v>
      </c>
      <c r="BE51" s="150">
        <f t="shared" si="6"/>
        <v>1</v>
      </c>
      <c r="BF51" s="151">
        <v>0</v>
      </c>
      <c r="BG51" s="150">
        <v>1</v>
      </c>
      <c r="BH51" s="150">
        <f t="shared" ref="BH51" si="89">IF(OR(BI51=1),1,0)</f>
        <v>1</v>
      </c>
      <c r="BI51" s="150">
        <v>1</v>
      </c>
      <c r="BJ51" s="150">
        <f t="shared" ref="BJ51" si="90">IF(OR(BK51=1),1,0)</f>
        <v>0</v>
      </c>
      <c r="BK51" s="150">
        <v>0</v>
      </c>
      <c r="BL51" s="152">
        <v>1</v>
      </c>
      <c r="BM51" s="153" t="s">
        <v>1587</v>
      </c>
      <c r="BN51" s="153">
        <v>1</v>
      </c>
      <c r="BO51" s="153">
        <v>1</v>
      </c>
      <c r="BP51" s="162" t="s">
        <v>1588</v>
      </c>
    </row>
    <row r="52" spans="1:68" x14ac:dyDescent="0.2">
      <c r="A52" s="146" t="s">
        <v>1444</v>
      </c>
      <c r="B52" s="147" t="str">
        <f>Elevage!L51</f>
        <v>ETANG SALE/SAINT LOUIS</v>
      </c>
      <c r="C52" s="163">
        <f>Elevage!B51</f>
        <v>46141</v>
      </c>
      <c r="D52" s="147">
        <v>0</v>
      </c>
      <c r="E52" s="148">
        <v>0</v>
      </c>
      <c r="F52" s="148">
        <v>25</v>
      </c>
      <c r="G52" s="149">
        <v>1</v>
      </c>
      <c r="H52" s="150" t="s">
        <v>1493</v>
      </c>
      <c r="I52" s="150" t="s">
        <v>35</v>
      </c>
      <c r="J52" s="150">
        <v>450</v>
      </c>
      <c r="K52" s="150">
        <v>32</v>
      </c>
      <c r="L52" s="150">
        <v>1</v>
      </c>
      <c r="M52" s="150">
        <v>5</v>
      </c>
      <c r="N52" s="150">
        <v>1992</v>
      </c>
      <c r="O52" s="151">
        <f t="shared" si="0"/>
        <v>34</v>
      </c>
      <c r="P52" s="152">
        <v>0</v>
      </c>
      <c r="Q52" s="153" t="s">
        <v>1492</v>
      </c>
      <c r="R52" s="153">
        <v>1</v>
      </c>
      <c r="S52" s="153">
        <v>0</v>
      </c>
      <c r="T52" s="154" t="s">
        <v>1492</v>
      </c>
      <c r="U52" s="154">
        <v>0</v>
      </c>
      <c r="V52" s="154">
        <v>0</v>
      </c>
      <c r="W52" s="154">
        <v>1</v>
      </c>
      <c r="X52" s="154">
        <v>1</v>
      </c>
      <c r="Y52" s="154">
        <v>0</v>
      </c>
      <c r="Z52" s="154">
        <v>0</v>
      </c>
      <c r="AA52" s="154">
        <v>0</v>
      </c>
      <c r="AB52" s="154">
        <v>0</v>
      </c>
      <c r="AC52" s="155" t="s">
        <v>1496</v>
      </c>
      <c r="AD52" s="156" t="s">
        <v>1496</v>
      </c>
      <c r="AE52" s="156">
        <v>60</v>
      </c>
      <c r="AF52" s="157">
        <v>1</v>
      </c>
      <c r="AG52" s="158" t="s">
        <v>1528</v>
      </c>
      <c r="AH52" s="159" t="s">
        <v>1499</v>
      </c>
      <c r="AI52" s="160">
        <v>0</v>
      </c>
      <c r="AJ52" s="160">
        <v>0</v>
      </c>
      <c r="AK52" s="160">
        <v>1</v>
      </c>
      <c r="AL52" s="160">
        <v>1</v>
      </c>
      <c r="AM52" s="160">
        <v>1</v>
      </c>
      <c r="AN52" s="161">
        <v>0</v>
      </c>
      <c r="AO52" s="160">
        <v>0</v>
      </c>
      <c r="AP52" s="149" t="s">
        <v>1501</v>
      </c>
      <c r="AQ52" s="167" t="s">
        <v>1545</v>
      </c>
      <c r="AR52" s="150" t="s">
        <v>1503</v>
      </c>
      <c r="AS52" s="150">
        <f t="shared" si="1"/>
        <v>1</v>
      </c>
      <c r="AT52" s="150">
        <v>1</v>
      </c>
      <c r="AU52" s="150">
        <v>0</v>
      </c>
      <c r="AV52" s="150">
        <f t="shared" si="2"/>
        <v>0</v>
      </c>
      <c r="AW52" s="150">
        <v>0</v>
      </c>
      <c r="AX52" s="150">
        <v>0</v>
      </c>
      <c r="AY52" s="150">
        <f t="shared" si="3"/>
        <v>0</v>
      </c>
      <c r="AZ52" s="150">
        <v>0</v>
      </c>
      <c r="BA52" s="150">
        <f t="shared" si="4"/>
        <v>0</v>
      </c>
      <c r="BB52" s="150">
        <v>0</v>
      </c>
      <c r="BC52" s="150">
        <f t="shared" si="5"/>
        <v>0</v>
      </c>
      <c r="BD52" s="150">
        <v>0</v>
      </c>
      <c r="BE52" s="150">
        <f t="shared" si="6"/>
        <v>0</v>
      </c>
      <c r="BF52" s="151">
        <v>0</v>
      </c>
      <c r="BG52" s="150">
        <v>0</v>
      </c>
      <c r="BH52" s="150">
        <f t="shared" ref="BH52" si="91">IF(OR(BI52=1),1,0)</f>
        <v>0</v>
      </c>
      <c r="BI52" s="150">
        <v>0</v>
      </c>
      <c r="BJ52" s="150">
        <f t="shared" ref="BJ52" si="92">IF(OR(BK52=1),1,0)</f>
        <v>1</v>
      </c>
      <c r="BK52" s="150">
        <v>1</v>
      </c>
      <c r="BL52" s="152">
        <v>1</v>
      </c>
      <c r="BM52" s="153" t="s">
        <v>1561</v>
      </c>
      <c r="BN52" s="153">
        <v>0</v>
      </c>
      <c r="BO52" s="153">
        <v>1</v>
      </c>
      <c r="BP52" s="162" t="s">
        <v>1526</v>
      </c>
    </row>
    <row r="53" spans="1:68" x14ac:dyDescent="0.2">
      <c r="A53" s="146" t="s">
        <v>1445</v>
      </c>
      <c r="B53" s="147" t="str">
        <f>Elevage!L52</f>
        <v>LE TAMPON/PLAINE DES CAFRES</v>
      </c>
      <c r="C53" s="163">
        <f>Elevage!B52</f>
        <v>46148</v>
      </c>
      <c r="D53" s="147">
        <v>0</v>
      </c>
      <c r="E53" s="148">
        <v>0</v>
      </c>
      <c r="F53" s="148">
        <v>26</v>
      </c>
      <c r="G53" s="149">
        <v>1</v>
      </c>
      <c r="H53" s="150" t="s">
        <v>1493</v>
      </c>
      <c r="I53" s="150" t="s">
        <v>35</v>
      </c>
      <c r="J53" s="150">
        <v>550</v>
      </c>
      <c r="K53" s="150">
        <v>45</v>
      </c>
      <c r="L53" s="150">
        <v>2</v>
      </c>
      <c r="M53" s="150">
        <v>7</v>
      </c>
      <c r="N53" s="150">
        <v>2024</v>
      </c>
      <c r="O53" s="151">
        <f t="shared" si="0"/>
        <v>2</v>
      </c>
      <c r="P53" s="152">
        <v>0</v>
      </c>
      <c r="Q53" s="153" t="s">
        <v>1551</v>
      </c>
      <c r="R53" s="153">
        <v>0</v>
      </c>
      <c r="S53" s="153">
        <v>1</v>
      </c>
      <c r="T53" s="154" t="s">
        <v>1485</v>
      </c>
      <c r="U53" s="154">
        <v>0</v>
      </c>
      <c r="V53" s="154">
        <v>0</v>
      </c>
      <c r="W53" s="154">
        <v>0</v>
      </c>
      <c r="X53" s="154">
        <v>0</v>
      </c>
      <c r="Y53" s="154">
        <v>0</v>
      </c>
      <c r="Z53" s="154">
        <v>0</v>
      </c>
      <c r="AA53" s="154">
        <v>0</v>
      </c>
      <c r="AB53" s="154">
        <v>0</v>
      </c>
      <c r="AC53" s="155" t="s">
        <v>1496</v>
      </c>
      <c r="AD53" s="156" t="s">
        <v>1496</v>
      </c>
      <c r="AE53" s="156">
        <v>45</v>
      </c>
      <c r="AF53" s="157">
        <v>1</v>
      </c>
      <c r="AG53" s="158" t="s">
        <v>1507</v>
      </c>
      <c r="AH53" s="159" t="s">
        <v>1499</v>
      </c>
      <c r="AI53" s="160">
        <v>0</v>
      </c>
      <c r="AJ53" s="160">
        <v>1</v>
      </c>
      <c r="AK53" s="160">
        <v>0</v>
      </c>
      <c r="AL53" s="160">
        <v>1</v>
      </c>
      <c r="AM53" s="160">
        <v>0</v>
      </c>
      <c r="AN53" s="161">
        <v>0</v>
      </c>
      <c r="AO53" s="160">
        <v>1</v>
      </c>
      <c r="AP53" s="149" t="s">
        <v>1513</v>
      </c>
      <c r="AQ53" s="167" t="s">
        <v>1544</v>
      </c>
      <c r="AR53" s="150" t="s">
        <v>1503</v>
      </c>
      <c r="AS53" s="150">
        <f t="shared" si="1"/>
        <v>1</v>
      </c>
      <c r="AT53" s="150">
        <v>1</v>
      </c>
      <c r="AU53" s="150">
        <v>0</v>
      </c>
      <c r="AV53" s="150">
        <f t="shared" si="2"/>
        <v>0</v>
      </c>
      <c r="AW53" s="150">
        <v>0</v>
      </c>
      <c r="AX53" s="150">
        <v>0</v>
      </c>
      <c r="AY53" s="150">
        <f t="shared" si="3"/>
        <v>0</v>
      </c>
      <c r="AZ53" s="150">
        <v>0</v>
      </c>
      <c r="BA53" s="150">
        <f t="shared" si="4"/>
        <v>0</v>
      </c>
      <c r="BB53" s="150">
        <v>0</v>
      </c>
      <c r="BC53" s="150">
        <f t="shared" si="5"/>
        <v>0</v>
      </c>
      <c r="BD53" s="150">
        <v>0</v>
      </c>
      <c r="BE53" s="150">
        <f t="shared" si="6"/>
        <v>1</v>
      </c>
      <c r="BF53" s="151">
        <v>1</v>
      </c>
      <c r="BG53" s="150">
        <v>1</v>
      </c>
      <c r="BH53" s="150">
        <f t="shared" ref="BH53" si="93">IF(OR(BI53=1),1,0)</f>
        <v>0</v>
      </c>
      <c r="BI53" s="150">
        <v>0</v>
      </c>
      <c r="BJ53" s="150">
        <f t="shared" ref="BJ53" si="94">IF(OR(BK53=1),1,0)</f>
        <v>0</v>
      </c>
      <c r="BK53" s="150">
        <v>0</v>
      </c>
      <c r="BL53" s="152">
        <v>1</v>
      </c>
      <c r="BM53" s="153" t="s">
        <v>1552</v>
      </c>
      <c r="BN53" s="153">
        <v>1</v>
      </c>
      <c r="BO53" s="153">
        <v>1</v>
      </c>
      <c r="BP53" s="162" t="s">
        <v>1553</v>
      </c>
    </row>
    <row r="54" spans="1:68" x14ac:dyDescent="0.2">
      <c r="A54" s="146" t="s">
        <v>1446</v>
      </c>
      <c r="B54" s="147" t="str">
        <f>Elevage!L53</f>
        <v>SAINT PIERRE / PETITE ILE</v>
      </c>
      <c r="C54" s="163">
        <f>Elevage!B53</f>
        <v>46147</v>
      </c>
      <c r="D54" s="147">
        <v>0</v>
      </c>
      <c r="E54" s="148">
        <v>0</v>
      </c>
      <c r="F54" s="148">
        <v>25</v>
      </c>
      <c r="G54" s="149">
        <v>1</v>
      </c>
      <c r="H54" s="150" t="s">
        <v>1493</v>
      </c>
      <c r="I54" s="150" t="s">
        <v>35</v>
      </c>
      <c r="J54" s="150">
        <v>400</v>
      </c>
      <c r="K54" s="150">
        <v>38</v>
      </c>
      <c r="L54" s="150">
        <v>1</v>
      </c>
      <c r="M54" s="150">
        <v>5</v>
      </c>
      <c r="N54" s="150">
        <v>2009</v>
      </c>
      <c r="O54" s="151">
        <f t="shared" si="0"/>
        <v>17</v>
      </c>
      <c r="P54" s="152">
        <v>0</v>
      </c>
      <c r="Q54" s="153" t="s">
        <v>1492</v>
      </c>
      <c r="R54" s="153">
        <v>1</v>
      </c>
      <c r="S54" s="153">
        <v>1</v>
      </c>
      <c r="T54" s="154" t="s">
        <v>1485</v>
      </c>
      <c r="U54" s="154">
        <v>0</v>
      </c>
      <c r="V54" s="154">
        <v>1</v>
      </c>
      <c r="W54" s="154">
        <v>0</v>
      </c>
      <c r="X54" s="154">
        <v>1</v>
      </c>
      <c r="Y54" s="154">
        <v>0</v>
      </c>
      <c r="Z54" s="154">
        <v>0</v>
      </c>
      <c r="AA54" s="154">
        <v>0</v>
      </c>
      <c r="AB54" s="154">
        <v>0</v>
      </c>
      <c r="AC54" s="155" t="s">
        <v>1496</v>
      </c>
      <c r="AD54" s="156" t="s">
        <v>1496</v>
      </c>
      <c r="AE54" s="156">
        <v>40</v>
      </c>
      <c r="AF54" s="157">
        <v>1</v>
      </c>
      <c r="AG54" s="158" t="s">
        <v>1593</v>
      </c>
      <c r="AH54" s="159" t="s">
        <v>1499</v>
      </c>
      <c r="AI54" s="160">
        <v>1</v>
      </c>
      <c r="AJ54" s="160">
        <v>1</v>
      </c>
      <c r="AK54" s="160">
        <v>1</v>
      </c>
      <c r="AL54" s="160">
        <v>1</v>
      </c>
      <c r="AM54" s="160">
        <v>0</v>
      </c>
      <c r="AN54" s="161">
        <v>0</v>
      </c>
      <c r="AO54" s="160">
        <v>1</v>
      </c>
      <c r="AP54" s="149" t="s">
        <v>1513</v>
      </c>
      <c r="AQ54" s="167" t="s">
        <v>1546</v>
      </c>
      <c r="AR54" s="150" t="s">
        <v>1503</v>
      </c>
      <c r="AS54" s="150">
        <f t="shared" si="1"/>
        <v>1</v>
      </c>
      <c r="AT54" s="150">
        <v>1</v>
      </c>
      <c r="AU54" s="150">
        <v>0</v>
      </c>
      <c r="AV54" s="150">
        <f t="shared" si="2"/>
        <v>0</v>
      </c>
      <c r="AW54" s="150">
        <v>0</v>
      </c>
      <c r="AX54" s="150">
        <v>0</v>
      </c>
      <c r="AY54" s="150">
        <f t="shared" si="3"/>
        <v>0</v>
      </c>
      <c r="AZ54" s="150">
        <v>0</v>
      </c>
      <c r="BA54" s="150">
        <f t="shared" si="4"/>
        <v>0</v>
      </c>
      <c r="BB54" s="150">
        <v>0</v>
      </c>
      <c r="BC54" s="150">
        <f t="shared" si="5"/>
        <v>0</v>
      </c>
      <c r="BD54" s="150">
        <v>0</v>
      </c>
      <c r="BE54" s="150">
        <f t="shared" si="6"/>
        <v>1</v>
      </c>
      <c r="BF54" s="151">
        <v>1</v>
      </c>
      <c r="BG54" s="150">
        <v>0</v>
      </c>
      <c r="BH54" s="150">
        <f t="shared" ref="BH54" si="95">IF(OR(BI54=1),1,0)</f>
        <v>0</v>
      </c>
      <c r="BI54" s="150">
        <v>0</v>
      </c>
      <c r="BJ54" s="150">
        <f t="shared" ref="BJ54" si="96">IF(OR(BK54=1),1,0)</f>
        <v>0</v>
      </c>
      <c r="BK54" s="150">
        <v>0</v>
      </c>
      <c r="BL54" s="152">
        <v>1</v>
      </c>
      <c r="BM54" s="153" t="s">
        <v>1561</v>
      </c>
      <c r="BN54" s="153">
        <v>0</v>
      </c>
      <c r="BO54" s="153">
        <v>1</v>
      </c>
      <c r="BP54" s="162" t="s">
        <v>1621</v>
      </c>
    </row>
    <row r="55" spans="1:68" x14ac:dyDescent="0.2">
      <c r="A55" s="146" t="s">
        <v>1447</v>
      </c>
      <c r="B55" s="147" t="str">
        <f>Elevage!L54</f>
        <v>SAINT PIERRE / PETITE ILE</v>
      </c>
      <c r="C55" s="163">
        <f>Elevage!B54</f>
        <v>46147</v>
      </c>
      <c r="D55" s="147">
        <v>0</v>
      </c>
      <c r="E55" s="148">
        <v>0</v>
      </c>
      <c r="G55" s="149">
        <v>2</v>
      </c>
      <c r="H55" s="150" t="s">
        <v>1493</v>
      </c>
      <c r="I55" s="150" t="s">
        <v>35</v>
      </c>
      <c r="J55" s="150">
        <v>450</v>
      </c>
      <c r="K55" s="150">
        <v>45</v>
      </c>
      <c r="L55" s="150">
        <v>1</v>
      </c>
      <c r="M55" s="150">
        <v>7</v>
      </c>
      <c r="N55" s="150">
        <v>1990</v>
      </c>
      <c r="O55" s="151">
        <f t="shared" si="0"/>
        <v>36</v>
      </c>
      <c r="P55" s="152">
        <v>0</v>
      </c>
      <c r="Q55" s="153" t="s">
        <v>1566</v>
      </c>
      <c r="R55" s="153">
        <v>1</v>
      </c>
      <c r="S55" s="153">
        <v>1</v>
      </c>
      <c r="T55" s="154" t="s">
        <v>1487</v>
      </c>
      <c r="U55" s="154">
        <v>1</v>
      </c>
      <c r="V55" s="154">
        <v>0</v>
      </c>
      <c r="W55" s="154">
        <v>1</v>
      </c>
      <c r="X55" s="154">
        <v>1</v>
      </c>
      <c r="Y55" s="154">
        <v>0</v>
      </c>
      <c r="Z55" s="154">
        <v>0</v>
      </c>
      <c r="AA55" s="154">
        <v>1</v>
      </c>
      <c r="AB55" s="154">
        <v>0</v>
      </c>
      <c r="AC55" s="155" t="s">
        <v>1496</v>
      </c>
      <c r="AD55" s="156" t="s">
        <v>1495</v>
      </c>
      <c r="AE55" s="156">
        <v>40</v>
      </c>
      <c r="AF55" s="157">
        <v>1</v>
      </c>
      <c r="AG55" s="158" t="s">
        <v>1515</v>
      </c>
      <c r="AH55" s="159" t="s">
        <v>1499</v>
      </c>
      <c r="AI55" s="160">
        <v>1</v>
      </c>
      <c r="AJ55" s="160">
        <v>0</v>
      </c>
      <c r="AK55" s="160">
        <v>0</v>
      </c>
      <c r="AL55" s="160">
        <v>1</v>
      </c>
      <c r="AM55" s="160">
        <v>0</v>
      </c>
      <c r="AN55" s="161">
        <v>0</v>
      </c>
      <c r="AO55" s="160">
        <v>1</v>
      </c>
      <c r="AP55" s="149" t="s">
        <v>1513</v>
      </c>
      <c r="AQ55" s="167" t="s">
        <v>1546</v>
      </c>
      <c r="AR55" s="150" t="s">
        <v>1503</v>
      </c>
      <c r="AS55" s="150">
        <f t="shared" si="1"/>
        <v>1</v>
      </c>
      <c r="AT55" s="150">
        <v>1</v>
      </c>
      <c r="AU55" s="150">
        <v>0</v>
      </c>
      <c r="AV55" s="150">
        <f t="shared" si="2"/>
        <v>0</v>
      </c>
      <c r="AW55" s="150">
        <v>0</v>
      </c>
      <c r="AX55" s="150">
        <v>0</v>
      </c>
      <c r="AY55" s="150">
        <f t="shared" si="3"/>
        <v>1</v>
      </c>
      <c r="AZ55" s="150">
        <v>1</v>
      </c>
      <c r="BA55" s="150">
        <f t="shared" si="4"/>
        <v>0</v>
      </c>
      <c r="BB55" s="150">
        <v>0</v>
      </c>
      <c r="BC55" s="150">
        <f t="shared" si="5"/>
        <v>0</v>
      </c>
      <c r="BD55" s="150">
        <v>0</v>
      </c>
      <c r="BE55" s="150">
        <f t="shared" si="6"/>
        <v>0</v>
      </c>
      <c r="BF55" s="151">
        <v>0</v>
      </c>
      <c r="BG55" s="150">
        <v>0</v>
      </c>
      <c r="BH55" s="150">
        <f t="shared" ref="BH55" si="97">IF(OR(BI55=1),1,0)</f>
        <v>1</v>
      </c>
      <c r="BI55" s="150">
        <v>1</v>
      </c>
      <c r="BJ55" s="150">
        <f t="shared" ref="BJ55" si="98">IF(OR(BK55=1),1,0)</f>
        <v>0</v>
      </c>
      <c r="BK55" s="150">
        <v>0</v>
      </c>
      <c r="BL55" s="152">
        <v>1</v>
      </c>
      <c r="BM55" s="153" t="s">
        <v>1561</v>
      </c>
      <c r="BN55" s="153">
        <v>0</v>
      </c>
      <c r="BO55" s="153">
        <v>1</v>
      </c>
      <c r="BP55" s="162" t="s">
        <v>1512</v>
      </c>
    </row>
    <row r="56" spans="1:68" x14ac:dyDescent="0.2">
      <c r="A56" s="146" t="s">
        <v>1448</v>
      </c>
      <c r="B56" s="147" t="str">
        <f>Elevage!L55</f>
        <v>SAINT JOSEPH</v>
      </c>
      <c r="C56" s="163">
        <f>Elevage!B55</f>
        <v>46147</v>
      </c>
      <c r="D56" s="147">
        <v>0</v>
      </c>
      <c r="E56" s="148">
        <v>0</v>
      </c>
      <c r="F56" s="148">
        <v>26</v>
      </c>
      <c r="G56" s="149">
        <v>2</v>
      </c>
      <c r="H56" s="150" t="s">
        <v>1493</v>
      </c>
      <c r="I56" s="150" t="s">
        <v>35</v>
      </c>
      <c r="J56" s="150">
        <v>475</v>
      </c>
      <c r="K56" s="150">
        <v>38</v>
      </c>
      <c r="L56" s="150">
        <v>1</v>
      </c>
      <c r="M56" s="150">
        <v>4</v>
      </c>
      <c r="N56" s="150">
        <v>2014</v>
      </c>
      <c r="O56" s="151">
        <f t="shared" si="0"/>
        <v>12</v>
      </c>
      <c r="P56" s="152">
        <v>0</v>
      </c>
      <c r="Q56" s="153" t="s">
        <v>1492</v>
      </c>
      <c r="R56" s="153">
        <v>1</v>
      </c>
      <c r="S56" s="153">
        <v>1</v>
      </c>
      <c r="T56" s="154" t="s">
        <v>1487</v>
      </c>
      <c r="U56" s="154">
        <v>1</v>
      </c>
      <c r="V56" s="154">
        <v>1</v>
      </c>
      <c r="W56" s="154">
        <v>0</v>
      </c>
      <c r="X56" s="154">
        <v>0</v>
      </c>
      <c r="Y56" s="154">
        <v>0</v>
      </c>
      <c r="Z56" s="154">
        <v>0</v>
      </c>
      <c r="AA56" s="154">
        <v>0</v>
      </c>
      <c r="AB56" s="154">
        <v>0</v>
      </c>
      <c r="AC56" s="155" t="s">
        <v>1496</v>
      </c>
      <c r="AD56" s="156" t="s">
        <v>1496</v>
      </c>
      <c r="AE56" s="156">
        <v>40</v>
      </c>
      <c r="AF56" s="157">
        <v>1</v>
      </c>
      <c r="AG56" s="158" t="s">
        <v>1507</v>
      </c>
      <c r="AH56" s="159" t="s">
        <v>1499</v>
      </c>
      <c r="AI56" s="160">
        <v>0</v>
      </c>
      <c r="AJ56" s="160">
        <v>0</v>
      </c>
      <c r="AK56" s="160">
        <v>1</v>
      </c>
      <c r="AL56" s="160">
        <v>0</v>
      </c>
      <c r="AM56" s="160">
        <v>0</v>
      </c>
      <c r="AN56" s="161">
        <v>0</v>
      </c>
      <c r="AO56" s="160">
        <v>0</v>
      </c>
      <c r="AP56" s="149" t="s">
        <v>1501</v>
      </c>
      <c r="AQ56" s="167" t="s">
        <v>1545</v>
      </c>
      <c r="AR56" s="150" t="s">
        <v>1503</v>
      </c>
      <c r="AS56" s="150">
        <f t="shared" si="1"/>
        <v>1</v>
      </c>
      <c r="AT56" s="150">
        <v>1</v>
      </c>
      <c r="AU56" s="150">
        <v>0</v>
      </c>
      <c r="AV56" s="150">
        <f t="shared" si="2"/>
        <v>0</v>
      </c>
      <c r="AW56" s="150">
        <v>0</v>
      </c>
      <c r="AX56" s="150">
        <v>0</v>
      </c>
      <c r="AY56" s="150">
        <f t="shared" si="3"/>
        <v>0</v>
      </c>
      <c r="AZ56" s="150">
        <v>0</v>
      </c>
      <c r="BA56" s="150">
        <f t="shared" si="4"/>
        <v>0</v>
      </c>
      <c r="BB56" s="150">
        <v>0</v>
      </c>
      <c r="BC56" s="150">
        <f t="shared" si="5"/>
        <v>0</v>
      </c>
      <c r="BD56" s="150">
        <v>0</v>
      </c>
      <c r="BE56" s="150">
        <f t="shared" si="6"/>
        <v>0</v>
      </c>
      <c r="BF56" s="151">
        <v>0</v>
      </c>
      <c r="BG56" s="150">
        <v>0</v>
      </c>
      <c r="BH56" s="150">
        <f t="shared" ref="BH56" si="99">IF(OR(BI56=1),1,0)</f>
        <v>0</v>
      </c>
      <c r="BI56" s="150">
        <v>0</v>
      </c>
      <c r="BJ56" s="150">
        <f t="shared" ref="BJ56" si="100">IF(OR(BK56=1),1,0)</f>
        <v>0</v>
      </c>
      <c r="BK56" s="150">
        <v>0</v>
      </c>
      <c r="BL56" s="152">
        <v>1</v>
      </c>
      <c r="BM56" s="153" t="s">
        <v>1561</v>
      </c>
      <c r="BN56" s="153">
        <v>0</v>
      </c>
      <c r="BO56" s="153">
        <v>1</v>
      </c>
      <c r="BP56" s="162" t="s">
        <v>1526</v>
      </c>
    </row>
    <row r="57" spans="1:68" x14ac:dyDescent="0.2">
      <c r="A57" s="146" t="s">
        <v>1449</v>
      </c>
      <c r="B57" s="147" t="str">
        <f>Elevage!L56</f>
        <v>LE TAMPON/PLAINE DES CAFRES</v>
      </c>
      <c r="C57" s="163">
        <f>Elevage!B56</f>
        <v>46147</v>
      </c>
      <c r="D57" s="147">
        <v>0</v>
      </c>
      <c r="E57" s="148">
        <v>0</v>
      </c>
      <c r="F57" s="148">
        <v>26</v>
      </c>
      <c r="G57" s="149">
        <v>1</v>
      </c>
      <c r="H57" s="150" t="s">
        <v>1505</v>
      </c>
      <c r="I57" s="150" t="s">
        <v>35</v>
      </c>
      <c r="J57" s="150">
        <v>175</v>
      </c>
      <c r="K57" s="150">
        <v>10</v>
      </c>
      <c r="L57" s="150">
        <v>2</v>
      </c>
      <c r="M57" s="150">
        <v>1</v>
      </c>
      <c r="N57" s="150">
        <v>2020</v>
      </c>
      <c r="O57" s="151">
        <f t="shared" si="0"/>
        <v>6</v>
      </c>
      <c r="P57" s="152">
        <v>0</v>
      </c>
      <c r="Q57" s="153" t="s">
        <v>1492</v>
      </c>
      <c r="R57" s="153">
        <v>0</v>
      </c>
      <c r="S57" s="153">
        <v>0</v>
      </c>
      <c r="T57" s="154" t="s">
        <v>1492</v>
      </c>
      <c r="U57" s="154">
        <v>1</v>
      </c>
      <c r="V57" s="154">
        <v>0</v>
      </c>
      <c r="W57" s="154">
        <v>0</v>
      </c>
      <c r="X57" s="154">
        <v>1</v>
      </c>
      <c r="Y57" s="154">
        <v>0</v>
      </c>
      <c r="Z57" s="154">
        <v>0</v>
      </c>
      <c r="AA57" s="154">
        <v>0</v>
      </c>
      <c r="AB57" s="154">
        <v>0</v>
      </c>
      <c r="AC57" s="155" t="s">
        <v>1514</v>
      </c>
      <c r="AD57" s="156" t="s">
        <v>1514</v>
      </c>
      <c r="AF57" s="157">
        <v>0</v>
      </c>
      <c r="AG57" s="158" t="s">
        <v>1492</v>
      </c>
      <c r="AH57" s="159" t="s">
        <v>1499</v>
      </c>
      <c r="AI57" s="160">
        <v>0</v>
      </c>
      <c r="AJ57" s="160">
        <v>0</v>
      </c>
      <c r="AK57" s="160">
        <v>0</v>
      </c>
      <c r="AL57" s="160">
        <v>0</v>
      </c>
      <c r="AM57" s="160">
        <v>0</v>
      </c>
      <c r="AN57" s="161">
        <v>0</v>
      </c>
      <c r="AO57" s="160">
        <v>0</v>
      </c>
      <c r="AP57" s="149" t="s">
        <v>1501</v>
      </c>
      <c r="AQ57" s="167" t="s">
        <v>1545</v>
      </c>
      <c r="AR57" s="150" t="s">
        <v>1531</v>
      </c>
      <c r="AS57" s="150">
        <f t="shared" si="1"/>
        <v>0</v>
      </c>
      <c r="AT57" s="150">
        <v>0</v>
      </c>
      <c r="AU57" s="150">
        <v>0</v>
      </c>
      <c r="AV57" s="150">
        <f t="shared" si="2"/>
        <v>0</v>
      </c>
      <c r="AW57" s="150">
        <v>0</v>
      </c>
      <c r="AX57" s="150">
        <v>0</v>
      </c>
      <c r="AY57" s="150">
        <f t="shared" si="3"/>
        <v>0</v>
      </c>
      <c r="AZ57" s="150">
        <v>0</v>
      </c>
      <c r="BA57" s="150">
        <f t="shared" si="4"/>
        <v>0</v>
      </c>
      <c r="BB57" s="150">
        <v>0</v>
      </c>
      <c r="BC57" s="150">
        <f t="shared" si="5"/>
        <v>0</v>
      </c>
      <c r="BD57" s="150">
        <v>0</v>
      </c>
      <c r="BE57" s="150">
        <f t="shared" si="6"/>
        <v>0</v>
      </c>
      <c r="BF57" s="151">
        <v>0</v>
      </c>
      <c r="BG57" s="150">
        <v>0</v>
      </c>
      <c r="BH57" s="150">
        <f t="shared" ref="BH57" si="101">IF(OR(BI57=1),1,0)</f>
        <v>0</v>
      </c>
      <c r="BI57" s="150">
        <v>0</v>
      </c>
      <c r="BJ57" s="150">
        <f t="shared" ref="BJ57" si="102">IF(OR(BK57=1),1,0)</f>
        <v>1</v>
      </c>
      <c r="BK57" s="150">
        <v>1</v>
      </c>
      <c r="BL57" s="152">
        <v>0</v>
      </c>
      <c r="BM57" s="153" t="s">
        <v>1530</v>
      </c>
      <c r="BN57" s="153">
        <v>0</v>
      </c>
      <c r="BO57" s="153">
        <v>0</v>
      </c>
      <c r="BP57" s="162" t="s">
        <v>1530</v>
      </c>
    </row>
    <row r="58" spans="1:68" x14ac:dyDescent="0.2">
      <c r="A58" s="146" t="s">
        <v>1450</v>
      </c>
      <c r="B58" s="147" t="str">
        <f>Elevage!L57</f>
        <v>SAINT PIERRE / PETITE ILE</v>
      </c>
      <c r="C58" s="163">
        <f>Elevage!B57</f>
        <v>46147</v>
      </c>
      <c r="D58" s="147">
        <v>0</v>
      </c>
      <c r="E58" s="148">
        <v>0</v>
      </c>
      <c r="F58" s="148">
        <v>29</v>
      </c>
      <c r="G58" s="149">
        <v>2</v>
      </c>
      <c r="H58" s="150" t="s">
        <v>1493</v>
      </c>
      <c r="I58" s="150" t="s">
        <v>35</v>
      </c>
      <c r="J58" s="150">
        <v>350</v>
      </c>
      <c r="K58" s="150">
        <v>32</v>
      </c>
      <c r="L58" s="150">
        <v>1</v>
      </c>
      <c r="M58" s="150">
        <v>6</v>
      </c>
      <c r="N58" s="150">
        <v>1993</v>
      </c>
      <c r="O58" s="151">
        <f t="shared" si="0"/>
        <v>33</v>
      </c>
      <c r="P58" s="152">
        <v>0</v>
      </c>
      <c r="Q58" s="153" t="s">
        <v>1492</v>
      </c>
      <c r="R58" s="153">
        <v>1</v>
      </c>
      <c r="S58" s="153">
        <v>0</v>
      </c>
      <c r="T58" s="154" t="s">
        <v>1492</v>
      </c>
      <c r="U58" s="154">
        <v>0</v>
      </c>
      <c r="V58" s="154">
        <v>0</v>
      </c>
      <c r="W58" s="154">
        <v>0</v>
      </c>
      <c r="X58" s="154">
        <v>1</v>
      </c>
      <c r="Y58" s="154">
        <v>0</v>
      </c>
      <c r="Z58" s="154">
        <v>0</v>
      </c>
      <c r="AA58" s="154">
        <v>1</v>
      </c>
      <c r="AB58" s="154">
        <v>0</v>
      </c>
      <c r="AC58" s="155" t="s">
        <v>1495</v>
      </c>
      <c r="AD58" s="156" t="s">
        <v>1495</v>
      </c>
      <c r="AE58" s="156">
        <v>15</v>
      </c>
      <c r="AF58" s="157">
        <v>1</v>
      </c>
      <c r="AG58" s="158" t="s">
        <v>1593</v>
      </c>
      <c r="AH58" s="159" t="s">
        <v>1508</v>
      </c>
      <c r="AI58" s="160">
        <v>0</v>
      </c>
      <c r="AJ58" s="160">
        <v>0</v>
      </c>
      <c r="AK58" s="160">
        <v>1</v>
      </c>
      <c r="AL58" s="160">
        <v>0</v>
      </c>
      <c r="AM58" s="160">
        <v>0</v>
      </c>
      <c r="AN58" s="161">
        <v>0</v>
      </c>
      <c r="AO58" s="160">
        <v>0</v>
      </c>
      <c r="AP58" s="149" t="s">
        <v>1568</v>
      </c>
      <c r="AQ58" s="167" t="s">
        <v>1546</v>
      </c>
      <c r="AR58" s="150" t="s">
        <v>1503</v>
      </c>
      <c r="AS58" s="150">
        <f t="shared" si="1"/>
        <v>1</v>
      </c>
      <c r="AT58" s="150">
        <v>1</v>
      </c>
      <c r="AU58" s="150">
        <v>0</v>
      </c>
      <c r="AV58" s="150">
        <f t="shared" si="2"/>
        <v>0</v>
      </c>
      <c r="AW58" s="150">
        <v>0</v>
      </c>
      <c r="AX58" s="150">
        <v>0</v>
      </c>
      <c r="AY58" s="150">
        <f t="shared" si="3"/>
        <v>1</v>
      </c>
      <c r="AZ58" s="150">
        <v>1</v>
      </c>
      <c r="BA58" s="150">
        <f t="shared" si="4"/>
        <v>0</v>
      </c>
      <c r="BB58" s="150">
        <v>0</v>
      </c>
      <c r="BC58" s="150">
        <f t="shared" si="5"/>
        <v>0</v>
      </c>
      <c r="BD58" s="150">
        <v>0</v>
      </c>
      <c r="BE58" s="150">
        <f t="shared" si="6"/>
        <v>0</v>
      </c>
      <c r="BF58" s="151">
        <v>0</v>
      </c>
      <c r="BG58" s="150">
        <v>0</v>
      </c>
      <c r="BH58" s="150">
        <f t="shared" ref="BH58" si="103">IF(OR(BI58=1),1,0)</f>
        <v>0</v>
      </c>
      <c r="BI58" s="150">
        <v>0</v>
      </c>
      <c r="BJ58" s="150">
        <f t="shared" ref="BJ58" si="104">IF(OR(BK58=1),1,0)</f>
        <v>0</v>
      </c>
      <c r="BK58" s="150">
        <v>0</v>
      </c>
      <c r="BL58" s="152">
        <v>1</v>
      </c>
      <c r="BM58" s="153" t="s">
        <v>1567</v>
      </c>
      <c r="BN58" s="153">
        <v>0</v>
      </c>
      <c r="BO58" s="153">
        <v>0</v>
      </c>
      <c r="BP58" s="162" t="s">
        <v>1530</v>
      </c>
    </row>
    <row r="59" spans="1:68" x14ac:dyDescent="0.2">
      <c r="A59" s="146" t="s">
        <v>1451</v>
      </c>
      <c r="B59" s="147" t="str">
        <f>Elevage!L58</f>
        <v>PLAINE DES PALMISTES/ SAINTE ANNE</v>
      </c>
      <c r="C59" s="163">
        <f>Elevage!B58</f>
        <v>46148</v>
      </c>
      <c r="D59" s="147">
        <v>1</v>
      </c>
      <c r="E59" s="148">
        <v>0</v>
      </c>
      <c r="F59" s="148">
        <v>26</v>
      </c>
      <c r="G59" s="149">
        <v>1</v>
      </c>
      <c r="H59" s="150" t="s">
        <v>1513</v>
      </c>
      <c r="I59" s="150" t="s">
        <v>35</v>
      </c>
      <c r="J59" s="150">
        <v>375</v>
      </c>
      <c r="K59" s="150">
        <v>32</v>
      </c>
      <c r="L59" s="150">
        <v>1</v>
      </c>
      <c r="M59" s="150">
        <v>5</v>
      </c>
      <c r="N59" s="150">
        <v>1995</v>
      </c>
      <c r="O59" s="151">
        <f t="shared" si="0"/>
        <v>31</v>
      </c>
      <c r="P59" s="152">
        <v>1</v>
      </c>
      <c r="Q59" s="153" t="s">
        <v>1551</v>
      </c>
      <c r="R59" s="153">
        <v>1</v>
      </c>
      <c r="S59" s="153">
        <v>0</v>
      </c>
      <c r="T59" s="154" t="s">
        <v>1492</v>
      </c>
      <c r="U59" s="154">
        <v>0</v>
      </c>
      <c r="V59" s="154">
        <v>0</v>
      </c>
      <c r="W59" s="154">
        <v>0</v>
      </c>
      <c r="X59" s="154">
        <v>1</v>
      </c>
      <c r="Y59" s="154">
        <v>0</v>
      </c>
      <c r="Z59" s="154">
        <v>0</v>
      </c>
      <c r="AA59" s="154">
        <v>1</v>
      </c>
      <c r="AB59" s="154">
        <v>0</v>
      </c>
      <c r="AC59" s="155" t="s">
        <v>1514</v>
      </c>
      <c r="AD59" s="156" t="s">
        <v>1496</v>
      </c>
      <c r="AE59" s="156">
        <v>50</v>
      </c>
      <c r="AF59" s="157">
        <v>1</v>
      </c>
      <c r="AG59" s="158" t="s">
        <v>1594</v>
      </c>
      <c r="AH59" s="159" t="s">
        <v>1499</v>
      </c>
      <c r="AI59" s="160">
        <v>1</v>
      </c>
      <c r="AJ59" s="160">
        <v>1</v>
      </c>
      <c r="AK59" s="160">
        <v>1</v>
      </c>
      <c r="AL59" s="160">
        <v>1</v>
      </c>
      <c r="AM59" s="160">
        <v>0</v>
      </c>
      <c r="AN59" s="161">
        <v>0</v>
      </c>
      <c r="AO59" s="160">
        <v>1</v>
      </c>
      <c r="AP59" s="149" t="s">
        <v>1513</v>
      </c>
      <c r="AQ59" s="167" t="s">
        <v>1546</v>
      </c>
      <c r="AR59" s="150" t="s">
        <v>1503</v>
      </c>
      <c r="AS59" s="150">
        <f t="shared" si="1"/>
        <v>1</v>
      </c>
      <c r="AT59" s="150">
        <v>1</v>
      </c>
      <c r="AU59" s="150">
        <v>0</v>
      </c>
      <c r="AV59" s="150">
        <v>1</v>
      </c>
      <c r="AW59" s="150">
        <v>0</v>
      </c>
      <c r="AX59" s="150">
        <v>0</v>
      </c>
      <c r="AY59" s="150">
        <f t="shared" si="3"/>
        <v>1</v>
      </c>
      <c r="AZ59" s="150">
        <v>1</v>
      </c>
      <c r="BA59" s="150">
        <f t="shared" si="4"/>
        <v>0</v>
      </c>
      <c r="BB59" s="150">
        <v>0</v>
      </c>
      <c r="BC59" s="150">
        <f t="shared" si="5"/>
        <v>0</v>
      </c>
      <c r="BD59" s="150">
        <v>0</v>
      </c>
      <c r="BE59" s="150">
        <f t="shared" si="6"/>
        <v>0</v>
      </c>
      <c r="BF59" s="151">
        <v>0</v>
      </c>
      <c r="BG59" s="150">
        <v>0</v>
      </c>
      <c r="BH59" s="150">
        <f t="shared" ref="BH59" si="105">IF(OR(BI59=1),1,0)</f>
        <v>1</v>
      </c>
      <c r="BI59" s="150">
        <v>1</v>
      </c>
      <c r="BJ59" s="150">
        <f t="shared" ref="BJ59" si="106">IF(OR(BK59=1),1,0)</f>
        <v>0</v>
      </c>
      <c r="BK59" s="150">
        <v>0</v>
      </c>
      <c r="BL59" s="152">
        <v>1</v>
      </c>
      <c r="BM59" s="153" t="s">
        <v>1561</v>
      </c>
      <c r="BN59" s="153">
        <v>0</v>
      </c>
      <c r="BO59" s="153">
        <v>1</v>
      </c>
      <c r="BP59" s="162" t="s">
        <v>1526</v>
      </c>
    </row>
    <row r="60" spans="1:68" x14ac:dyDescent="0.2">
      <c r="A60" s="146" t="s">
        <v>1452</v>
      </c>
      <c r="B60" s="147" t="str">
        <f>Elevage!L59</f>
        <v>PLAINE DES PALMISTES/ SAINTE ANNE</v>
      </c>
      <c r="C60" s="163">
        <f>Elevage!B59</f>
        <v>46148</v>
      </c>
      <c r="D60" s="147">
        <v>0</v>
      </c>
      <c r="E60" s="148">
        <v>0</v>
      </c>
      <c r="F60" s="148">
        <v>26</v>
      </c>
      <c r="G60" s="149">
        <v>1</v>
      </c>
      <c r="H60" s="150" t="s">
        <v>1513</v>
      </c>
      <c r="I60" s="150" t="s">
        <v>35</v>
      </c>
      <c r="J60" s="150">
        <v>350</v>
      </c>
      <c r="K60" s="150">
        <v>24</v>
      </c>
      <c r="L60" s="150">
        <v>1</v>
      </c>
      <c r="M60" s="150">
        <v>4</v>
      </c>
      <c r="N60" s="150">
        <v>1987</v>
      </c>
      <c r="O60" s="151">
        <f t="shared" si="0"/>
        <v>39</v>
      </c>
      <c r="P60" s="152">
        <v>1</v>
      </c>
      <c r="Q60" s="153" t="s">
        <v>1551</v>
      </c>
      <c r="R60" s="153">
        <v>1</v>
      </c>
      <c r="S60" s="153">
        <v>0</v>
      </c>
      <c r="T60" s="154" t="s">
        <v>1492</v>
      </c>
      <c r="U60" s="154">
        <v>1</v>
      </c>
      <c r="V60" s="154">
        <v>0</v>
      </c>
      <c r="W60" s="154">
        <v>1</v>
      </c>
      <c r="X60" s="154">
        <v>1</v>
      </c>
      <c r="Y60" s="154">
        <v>0</v>
      </c>
      <c r="Z60" s="154">
        <v>0</v>
      </c>
      <c r="AA60" s="154">
        <v>1</v>
      </c>
      <c r="AB60" s="154">
        <v>0</v>
      </c>
      <c r="AC60" s="155" t="s">
        <v>1514</v>
      </c>
      <c r="AD60" s="156" t="s">
        <v>1496</v>
      </c>
      <c r="AE60" s="156">
        <v>42</v>
      </c>
      <c r="AF60" s="157">
        <v>1</v>
      </c>
      <c r="AG60" s="158" t="s">
        <v>1623</v>
      </c>
      <c r="AH60" s="159" t="s">
        <v>1499</v>
      </c>
      <c r="AI60" s="160">
        <v>1</v>
      </c>
      <c r="AJ60" s="160">
        <v>1</v>
      </c>
      <c r="AK60" s="160">
        <v>1</v>
      </c>
      <c r="AL60" s="160">
        <v>1</v>
      </c>
      <c r="AM60" s="160">
        <v>0</v>
      </c>
      <c r="AN60" s="161">
        <v>0</v>
      </c>
      <c r="AO60" s="160">
        <v>0</v>
      </c>
      <c r="AP60" s="149" t="s">
        <v>1501</v>
      </c>
      <c r="AQ60" s="167" t="s">
        <v>1545</v>
      </c>
      <c r="AR60" s="150" t="s">
        <v>1503</v>
      </c>
      <c r="AS60" s="150">
        <f t="shared" si="1"/>
        <v>1</v>
      </c>
      <c r="AT60" s="150">
        <v>1</v>
      </c>
      <c r="AU60" s="150">
        <v>0</v>
      </c>
      <c r="AV60" s="150">
        <f t="shared" si="2"/>
        <v>0</v>
      </c>
      <c r="AW60" s="150">
        <v>0</v>
      </c>
      <c r="AX60" s="150">
        <v>0</v>
      </c>
      <c r="AY60" s="150">
        <f t="shared" si="3"/>
        <v>1</v>
      </c>
      <c r="AZ60" s="150">
        <v>1</v>
      </c>
      <c r="BA60" s="150">
        <f t="shared" si="4"/>
        <v>0</v>
      </c>
      <c r="BB60" s="150">
        <v>0</v>
      </c>
      <c r="BC60" s="150">
        <f t="shared" si="5"/>
        <v>1</v>
      </c>
      <c r="BD60" s="150">
        <v>1</v>
      </c>
      <c r="BE60" s="150">
        <f t="shared" si="6"/>
        <v>0</v>
      </c>
      <c r="BF60" s="151">
        <v>0</v>
      </c>
      <c r="BG60" s="150">
        <v>0</v>
      </c>
      <c r="BH60" s="150">
        <f t="shared" ref="BH60" si="107">IF(OR(BI60=1),1,0)</f>
        <v>0</v>
      </c>
      <c r="BI60" s="150">
        <v>0</v>
      </c>
      <c r="BJ60" s="150">
        <f t="shared" ref="BJ60" si="108">IF(OR(BK60=1),1,0)</f>
        <v>0</v>
      </c>
      <c r="BK60" s="150">
        <v>0</v>
      </c>
      <c r="BL60" s="152">
        <v>1</v>
      </c>
      <c r="BM60" s="153" t="s">
        <v>1595</v>
      </c>
      <c r="BN60" s="153">
        <v>1</v>
      </c>
      <c r="BO60" s="153">
        <v>1</v>
      </c>
      <c r="BP60" s="162" t="s">
        <v>1531</v>
      </c>
    </row>
    <row r="61" spans="1:68" x14ac:dyDescent="0.2">
      <c r="A61" s="146" t="s">
        <v>1453</v>
      </c>
      <c r="B61" s="147" t="str">
        <f>Elevage!L60</f>
        <v>PLAINE DES PALMISTES/ SAINTE ANNE</v>
      </c>
      <c r="C61" s="163">
        <f>Elevage!B60</f>
        <v>46148</v>
      </c>
      <c r="D61" s="147">
        <v>0</v>
      </c>
      <c r="E61" s="148">
        <v>0</v>
      </c>
      <c r="F61" s="148">
        <v>23</v>
      </c>
      <c r="G61" s="149">
        <v>1</v>
      </c>
      <c r="H61" s="150" t="s">
        <v>1493</v>
      </c>
      <c r="I61" s="150" t="s">
        <v>35</v>
      </c>
      <c r="J61" s="150">
        <v>600</v>
      </c>
      <c r="K61" s="150">
        <v>45</v>
      </c>
      <c r="L61" s="150">
        <v>1</v>
      </c>
      <c r="M61" s="150">
        <v>7</v>
      </c>
      <c r="N61" s="150">
        <v>1996</v>
      </c>
      <c r="O61" s="151">
        <f t="shared" si="0"/>
        <v>30</v>
      </c>
      <c r="P61" s="152">
        <v>0</v>
      </c>
      <c r="Q61" s="153" t="s">
        <v>1492</v>
      </c>
      <c r="R61" s="153">
        <v>0</v>
      </c>
      <c r="S61" s="153">
        <v>1</v>
      </c>
      <c r="T61" s="154" t="s">
        <v>1485</v>
      </c>
      <c r="U61" s="154">
        <v>1</v>
      </c>
      <c r="V61" s="154">
        <v>1</v>
      </c>
      <c r="W61" s="154">
        <v>0</v>
      </c>
      <c r="X61" s="154">
        <v>1</v>
      </c>
      <c r="Y61" s="154">
        <v>0</v>
      </c>
      <c r="Z61" s="154">
        <v>0</v>
      </c>
      <c r="AA61" s="154">
        <v>1</v>
      </c>
      <c r="AB61" s="154">
        <v>0</v>
      </c>
      <c r="AC61" s="155" t="s">
        <v>1495</v>
      </c>
      <c r="AD61" s="156" t="s">
        <v>1496</v>
      </c>
      <c r="AE61" s="156">
        <v>60</v>
      </c>
      <c r="AF61" s="157">
        <v>1</v>
      </c>
      <c r="AG61" s="158" t="s">
        <v>1624</v>
      </c>
      <c r="AH61" s="159" t="s">
        <v>1499</v>
      </c>
      <c r="AI61" s="160">
        <v>0</v>
      </c>
      <c r="AJ61" s="160">
        <v>0</v>
      </c>
      <c r="AK61" s="160">
        <v>1</v>
      </c>
      <c r="AL61" s="160">
        <v>1</v>
      </c>
      <c r="AM61" s="160">
        <v>0</v>
      </c>
      <c r="AN61" s="161">
        <v>0</v>
      </c>
      <c r="AO61" s="160">
        <v>1</v>
      </c>
      <c r="AP61" s="149" t="s">
        <v>1501</v>
      </c>
      <c r="AQ61" s="167" t="s">
        <v>1545</v>
      </c>
      <c r="AR61" s="150" t="s">
        <v>1503</v>
      </c>
      <c r="AS61" s="150">
        <f t="shared" si="1"/>
        <v>1</v>
      </c>
      <c r="AT61" s="150">
        <v>1</v>
      </c>
      <c r="AU61" s="150">
        <v>1</v>
      </c>
      <c r="AV61" s="150">
        <f t="shared" si="2"/>
        <v>0</v>
      </c>
      <c r="AW61" s="150">
        <v>0</v>
      </c>
      <c r="AX61" s="150">
        <v>0</v>
      </c>
      <c r="AY61" s="150">
        <f t="shared" si="3"/>
        <v>1</v>
      </c>
      <c r="AZ61" s="150">
        <v>1</v>
      </c>
      <c r="BA61" s="150">
        <f t="shared" si="4"/>
        <v>0</v>
      </c>
      <c r="BB61" s="150">
        <v>0</v>
      </c>
      <c r="BC61" s="150">
        <f t="shared" si="5"/>
        <v>0</v>
      </c>
      <c r="BD61" s="150">
        <v>0</v>
      </c>
      <c r="BE61" s="150">
        <f t="shared" si="6"/>
        <v>0</v>
      </c>
      <c r="BF61" s="151">
        <v>0</v>
      </c>
      <c r="BG61" s="150">
        <v>0</v>
      </c>
      <c r="BH61" s="150">
        <f t="shared" ref="BH61" si="109">IF(OR(BI61=1),1,0)</f>
        <v>0</v>
      </c>
      <c r="BI61" s="150">
        <v>0</v>
      </c>
      <c r="BJ61" s="150">
        <f t="shared" ref="BJ61" si="110">IF(OR(BK61=1),1,0)</f>
        <v>0</v>
      </c>
      <c r="BK61" s="150">
        <v>0</v>
      </c>
      <c r="BL61" s="152">
        <v>1</v>
      </c>
      <c r="BM61" s="153" t="s">
        <v>1561</v>
      </c>
      <c r="BN61" s="153">
        <v>0</v>
      </c>
      <c r="BO61" s="153">
        <v>1</v>
      </c>
      <c r="BP61" s="162" t="s">
        <v>1526</v>
      </c>
    </row>
    <row r="62" spans="1:68" x14ac:dyDescent="0.2">
      <c r="A62" s="146" t="s">
        <v>1454</v>
      </c>
      <c r="B62" s="147" t="str">
        <f>Elevage!L61</f>
        <v>AVIRONS/ SAINT LEU</v>
      </c>
      <c r="C62" s="163">
        <f>Elevage!B61</f>
        <v>46149</v>
      </c>
      <c r="D62" s="147">
        <v>0</v>
      </c>
      <c r="E62" s="148">
        <v>0</v>
      </c>
      <c r="F62" s="148">
        <v>27</v>
      </c>
      <c r="G62" s="149">
        <v>1</v>
      </c>
      <c r="H62" s="150" t="s">
        <v>1493</v>
      </c>
      <c r="I62" s="150" t="s">
        <v>35</v>
      </c>
      <c r="J62" s="150">
        <v>500</v>
      </c>
      <c r="K62" s="150">
        <v>32</v>
      </c>
      <c r="L62" s="150">
        <v>1</v>
      </c>
      <c r="M62" s="150">
        <v>6</v>
      </c>
      <c r="N62" s="150">
        <v>2001</v>
      </c>
      <c r="O62" s="151">
        <f t="shared" si="0"/>
        <v>25</v>
      </c>
      <c r="P62" s="152">
        <v>0</v>
      </c>
      <c r="Q62" s="153" t="s">
        <v>1492</v>
      </c>
      <c r="R62" s="153">
        <v>1</v>
      </c>
      <c r="S62" s="153">
        <v>1</v>
      </c>
      <c r="T62" s="154" t="s">
        <v>1516</v>
      </c>
      <c r="U62" s="154">
        <v>0</v>
      </c>
      <c r="V62" s="154">
        <v>0</v>
      </c>
      <c r="W62" s="154">
        <v>0</v>
      </c>
      <c r="X62" s="154">
        <v>1</v>
      </c>
      <c r="Y62" s="154">
        <v>0</v>
      </c>
      <c r="Z62" s="154">
        <v>0</v>
      </c>
      <c r="AA62" s="154">
        <v>1</v>
      </c>
      <c r="AB62" s="154">
        <v>0</v>
      </c>
      <c r="AC62" s="155" t="s">
        <v>1496</v>
      </c>
      <c r="AD62" s="156" t="s">
        <v>1496</v>
      </c>
      <c r="AE62" s="156">
        <v>49</v>
      </c>
      <c r="AF62" s="157">
        <v>1</v>
      </c>
      <c r="AG62" s="158" t="s">
        <v>1517</v>
      </c>
      <c r="AH62" s="159" t="s">
        <v>1499</v>
      </c>
      <c r="AI62" s="160">
        <v>1</v>
      </c>
      <c r="AJ62" s="160">
        <v>1</v>
      </c>
      <c r="AK62" s="160">
        <v>0</v>
      </c>
      <c r="AL62" s="160">
        <v>1</v>
      </c>
      <c r="AM62" s="160">
        <v>1</v>
      </c>
      <c r="AN62" s="161">
        <v>0</v>
      </c>
      <c r="AO62" s="160">
        <v>1</v>
      </c>
      <c r="AP62" s="149" t="s">
        <v>1501</v>
      </c>
      <c r="AQ62" s="167" t="s">
        <v>1546</v>
      </c>
      <c r="AR62" s="150" t="s">
        <v>1503</v>
      </c>
      <c r="AS62" s="150">
        <f t="shared" si="1"/>
        <v>1</v>
      </c>
      <c r="AT62" s="150">
        <v>1</v>
      </c>
      <c r="AU62" s="150">
        <v>0</v>
      </c>
      <c r="AV62" s="150">
        <f t="shared" si="2"/>
        <v>1</v>
      </c>
      <c r="AW62" s="150">
        <v>1</v>
      </c>
      <c r="AX62" s="150">
        <v>0</v>
      </c>
      <c r="AY62" s="150">
        <f t="shared" si="3"/>
        <v>0</v>
      </c>
      <c r="AZ62" s="150">
        <v>0</v>
      </c>
      <c r="BA62" s="150">
        <f t="shared" si="4"/>
        <v>0</v>
      </c>
      <c r="BB62" s="150">
        <v>0</v>
      </c>
      <c r="BC62" s="150">
        <f t="shared" si="5"/>
        <v>1</v>
      </c>
      <c r="BD62" s="150">
        <v>1</v>
      </c>
      <c r="BE62" s="150">
        <f t="shared" si="6"/>
        <v>0</v>
      </c>
      <c r="BF62" s="151">
        <v>0</v>
      </c>
      <c r="BG62" s="150">
        <v>0</v>
      </c>
      <c r="BH62" s="150">
        <f t="shared" ref="BH62" si="111">IF(OR(BI62=1),1,0)</f>
        <v>0</v>
      </c>
      <c r="BI62" s="150">
        <v>0</v>
      </c>
      <c r="BJ62" s="150">
        <f t="shared" ref="BJ62" si="112">IF(OR(BK62=1),1,0)</f>
        <v>0</v>
      </c>
      <c r="BK62" s="150">
        <v>0</v>
      </c>
      <c r="BL62" s="152">
        <v>1</v>
      </c>
      <c r="BM62" s="153" t="s">
        <v>1552</v>
      </c>
      <c r="BN62" s="153">
        <v>1</v>
      </c>
      <c r="BO62" s="153">
        <v>1</v>
      </c>
      <c r="BP62" s="162" t="s">
        <v>1526</v>
      </c>
    </row>
    <row r="63" spans="1:68" x14ac:dyDescent="0.2">
      <c r="A63" s="146" t="s">
        <v>1455</v>
      </c>
      <c r="B63" s="147" t="str">
        <f>Elevage!L62</f>
        <v>AVIRONS/ SAINT LEU</v>
      </c>
      <c r="C63" s="163">
        <f>Elevage!B62</f>
        <v>46149</v>
      </c>
      <c r="D63" s="147">
        <v>0</v>
      </c>
      <c r="E63" s="148">
        <v>0</v>
      </c>
      <c r="F63" s="148">
        <v>25</v>
      </c>
      <c r="G63" s="149">
        <v>1</v>
      </c>
      <c r="H63" s="150" t="s">
        <v>1493</v>
      </c>
      <c r="I63" s="150" t="s">
        <v>35</v>
      </c>
      <c r="J63" s="150">
        <v>500</v>
      </c>
      <c r="K63" s="150">
        <v>40</v>
      </c>
      <c r="L63" s="150">
        <v>1</v>
      </c>
      <c r="M63" s="150">
        <v>7</v>
      </c>
      <c r="N63" s="150">
        <v>1998</v>
      </c>
      <c r="O63" s="151">
        <f t="shared" si="0"/>
        <v>28</v>
      </c>
      <c r="P63" s="152">
        <v>0</v>
      </c>
      <c r="Q63" s="153" t="s">
        <v>1492</v>
      </c>
      <c r="R63" s="153">
        <v>0</v>
      </c>
      <c r="S63" s="153">
        <v>0</v>
      </c>
      <c r="T63" s="154" t="s">
        <v>1492</v>
      </c>
      <c r="U63" s="154">
        <v>0</v>
      </c>
      <c r="V63" s="154">
        <v>0</v>
      </c>
      <c r="W63" s="154">
        <v>1</v>
      </c>
      <c r="X63" s="154">
        <v>0</v>
      </c>
      <c r="Y63" s="154">
        <v>0</v>
      </c>
      <c r="Z63" s="154">
        <v>0</v>
      </c>
      <c r="AA63" s="154">
        <v>0</v>
      </c>
      <c r="AB63" s="154">
        <v>0</v>
      </c>
      <c r="AC63" s="155" t="s">
        <v>1514</v>
      </c>
      <c r="AD63" s="156" t="s">
        <v>1496</v>
      </c>
      <c r="AE63" s="156">
        <v>40</v>
      </c>
      <c r="AF63" s="157">
        <v>1</v>
      </c>
      <c r="AG63" s="158" t="s">
        <v>1528</v>
      </c>
      <c r="AH63" s="159" t="s">
        <v>1499</v>
      </c>
      <c r="AI63" s="160">
        <v>0</v>
      </c>
      <c r="AJ63" s="160">
        <v>0</v>
      </c>
      <c r="AK63" s="160">
        <v>0</v>
      </c>
      <c r="AL63" s="160">
        <v>1</v>
      </c>
      <c r="AM63" s="160">
        <v>0</v>
      </c>
      <c r="AN63" s="161">
        <v>1</v>
      </c>
      <c r="AO63" s="160">
        <v>1</v>
      </c>
      <c r="AP63" s="149" t="s">
        <v>1501</v>
      </c>
      <c r="AQ63" s="167" t="s">
        <v>1545</v>
      </c>
      <c r="AR63" s="150" t="s">
        <v>1503</v>
      </c>
      <c r="AS63" s="150">
        <f t="shared" si="1"/>
        <v>0</v>
      </c>
      <c r="AT63" s="150">
        <v>0</v>
      </c>
      <c r="AU63" s="150">
        <v>0</v>
      </c>
      <c r="AV63" s="150">
        <f t="shared" si="2"/>
        <v>0</v>
      </c>
      <c r="AW63" s="150">
        <v>0</v>
      </c>
      <c r="AX63" s="150">
        <v>0</v>
      </c>
      <c r="AY63" s="150">
        <f t="shared" si="3"/>
        <v>0</v>
      </c>
      <c r="AZ63" s="150">
        <v>0</v>
      </c>
      <c r="BA63" s="150">
        <f t="shared" si="4"/>
        <v>0</v>
      </c>
      <c r="BB63" s="150">
        <v>0</v>
      </c>
      <c r="BC63" s="150">
        <f t="shared" si="5"/>
        <v>0</v>
      </c>
      <c r="BD63" s="150">
        <v>0</v>
      </c>
      <c r="BE63" s="150">
        <f t="shared" si="6"/>
        <v>0</v>
      </c>
      <c r="BF63" s="151">
        <v>0</v>
      </c>
      <c r="BG63" s="150">
        <v>0</v>
      </c>
      <c r="BH63" s="150">
        <f t="shared" ref="BH63" si="113">IF(OR(BI63=1),1,0)</f>
        <v>0</v>
      </c>
      <c r="BI63" s="150">
        <v>0</v>
      </c>
      <c r="BJ63" s="150">
        <f t="shared" ref="BJ63" si="114">IF(OR(BK63=1),1,0)</f>
        <v>0</v>
      </c>
      <c r="BK63" s="150">
        <v>0</v>
      </c>
      <c r="BL63" s="152">
        <v>1</v>
      </c>
      <c r="BM63" s="153" t="s">
        <v>1561</v>
      </c>
      <c r="BN63" s="153">
        <v>0</v>
      </c>
      <c r="BO63" s="153">
        <v>1</v>
      </c>
      <c r="BP63" s="162" t="s">
        <v>1553</v>
      </c>
    </row>
    <row r="64" spans="1:68" x14ac:dyDescent="0.2">
      <c r="A64" s="146" t="s">
        <v>1456</v>
      </c>
      <c r="B64" s="147" t="str">
        <f>Elevage!L63</f>
        <v>AVIRONS/ SAINT LEU</v>
      </c>
      <c r="C64" s="163">
        <f>Elevage!B63</f>
        <v>46149</v>
      </c>
      <c r="D64" s="147">
        <v>0</v>
      </c>
      <c r="E64" s="148">
        <v>0</v>
      </c>
      <c r="F64" s="148">
        <v>26</v>
      </c>
      <c r="G64" s="149">
        <v>3</v>
      </c>
      <c r="H64" s="150" t="s">
        <v>1513</v>
      </c>
      <c r="I64" s="150" t="s">
        <v>35</v>
      </c>
      <c r="J64" s="150">
        <v>400</v>
      </c>
      <c r="K64" s="150">
        <v>37</v>
      </c>
      <c r="L64" s="150">
        <v>1</v>
      </c>
      <c r="M64" s="150">
        <v>7</v>
      </c>
      <c r="N64" s="150">
        <v>1984</v>
      </c>
      <c r="O64" s="151">
        <f t="shared" si="0"/>
        <v>42</v>
      </c>
      <c r="P64" s="152">
        <v>0</v>
      </c>
      <c r="Q64" s="153" t="s">
        <v>1492</v>
      </c>
      <c r="R64" s="153">
        <v>0</v>
      </c>
      <c r="S64" s="153">
        <v>0</v>
      </c>
      <c r="T64" s="154" t="s">
        <v>1492</v>
      </c>
      <c r="U64" s="154">
        <v>0</v>
      </c>
      <c r="V64" s="154">
        <v>1</v>
      </c>
      <c r="W64" s="154">
        <v>0</v>
      </c>
      <c r="X64" s="154">
        <v>1</v>
      </c>
      <c r="Y64" s="154">
        <v>0</v>
      </c>
      <c r="Z64" s="154">
        <v>0</v>
      </c>
      <c r="AA64" s="154">
        <v>1</v>
      </c>
      <c r="AB64" s="154">
        <v>0</v>
      </c>
      <c r="AC64" s="155" t="s">
        <v>1496</v>
      </c>
      <c r="AD64" s="156" t="s">
        <v>1496</v>
      </c>
      <c r="AE64" s="156">
        <v>40</v>
      </c>
      <c r="AF64" s="157">
        <v>1</v>
      </c>
      <c r="AG64" s="158" t="s">
        <v>1596</v>
      </c>
      <c r="AH64" s="159" t="s">
        <v>1508</v>
      </c>
      <c r="AI64" s="160">
        <v>0</v>
      </c>
      <c r="AJ64" s="160">
        <v>1</v>
      </c>
      <c r="AK64" s="160">
        <v>0</v>
      </c>
      <c r="AL64" s="160">
        <v>1</v>
      </c>
      <c r="AM64" s="160">
        <v>0</v>
      </c>
      <c r="AN64" s="161">
        <v>0</v>
      </c>
      <c r="AO64" s="160">
        <v>1</v>
      </c>
      <c r="AP64" s="149" t="s">
        <v>1501</v>
      </c>
      <c r="AQ64" s="167" t="s">
        <v>1546</v>
      </c>
      <c r="AR64" s="150" t="s">
        <v>1503</v>
      </c>
      <c r="AS64" s="150">
        <f t="shared" si="1"/>
        <v>1</v>
      </c>
      <c r="AT64" s="150">
        <v>1</v>
      </c>
      <c r="AU64" s="150">
        <v>0</v>
      </c>
      <c r="AV64" s="150">
        <f t="shared" si="2"/>
        <v>1</v>
      </c>
      <c r="AW64" s="150">
        <v>0</v>
      </c>
      <c r="AX64" s="150">
        <v>1</v>
      </c>
      <c r="AY64" s="150">
        <f t="shared" si="3"/>
        <v>0</v>
      </c>
      <c r="AZ64" s="150">
        <v>0</v>
      </c>
      <c r="BA64" s="150">
        <f t="shared" si="4"/>
        <v>0</v>
      </c>
      <c r="BB64" s="150">
        <v>0</v>
      </c>
      <c r="BC64" s="150">
        <f t="shared" si="5"/>
        <v>0</v>
      </c>
      <c r="BD64" s="150">
        <v>0</v>
      </c>
      <c r="BE64" s="150">
        <f t="shared" si="6"/>
        <v>0</v>
      </c>
      <c r="BF64" s="151">
        <v>0</v>
      </c>
      <c r="BG64" s="150">
        <v>0</v>
      </c>
      <c r="BH64" s="150">
        <f t="shared" ref="BH64" si="115">IF(OR(BI64=1),1,0)</f>
        <v>0</v>
      </c>
      <c r="BI64" s="150">
        <v>0</v>
      </c>
      <c r="BJ64" s="150">
        <f t="shared" ref="BJ64" si="116">IF(OR(BK64=1),1,0)</f>
        <v>0</v>
      </c>
      <c r="BK64" s="150">
        <v>0</v>
      </c>
      <c r="BL64" s="152">
        <v>1</v>
      </c>
      <c r="BM64" s="153" t="s">
        <v>1561</v>
      </c>
      <c r="BN64" s="153">
        <v>0</v>
      </c>
      <c r="BO64" s="153">
        <v>0</v>
      </c>
      <c r="BP64" s="162" t="s">
        <v>1530</v>
      </c>
    </row>
    <row r="65" spans="1:68" x14ac:dyDescent="0.2">
      <c r="A65" s="146" t="s">
        <v>1457</v>
      </c>
      <c r="B65" s="147" t="str">
        <f>Elevage!L64</f>
        <v>SALAZIE</v>
      </c>
      <c r="C65" s="163">
        <f>Elevage!B64</f>
        <v>46153</v>
      </c>
      <c r="D65" s="147">
        <v>0</v>
      </c>
      <c r="E65" s="148">
        <v>0</v>
      </c>
      <c r="F65" s="148">
        <v>25</v>
      </c>
      <c r="G65" s="149">
        <v>2</v>
      </c>
      <c r="H65" s="150" t="s">
        <v>1505</v>
      </c>
      <c r="I65" s="150" t="s">
        <v>35</v>
      </c>
      <c r="J65" s="150">
        <v>650</v>
      </c>
      <c r="K65" s="150">
        <v>45</v>
      </c>
      <c r="L65" s="150">
        <v>2</v>
      </c>
      <c r="M65" s="150">
        <v>7</v>
      </c>
      <c r="N65" s="150">
        <v>1990</v>
      </c>
      <c r="O65" s="151">
        <f t="shared" si="0"/>
        <v>36</v>
      </c>
      <c r="P65" s="152">
        <v>0</v>
      </c>
      <c r="Q65" s="153" t="s">
        <v>1492</v>
      </c>
      <c r="R65" s="153">
        <v>0</v>
      </c>
      <c r="S65" s="153">
        <v>0</v>
      </c>
      <c r="T65" s="154" t="s">
        <v>1492</v>
      </c>
      <c r="U65" s="154">
        <v>1</v>
      </c>
      <c r="V65" s="154">
        <v>1</v>
      </c>
      <c r="W65" s="154">
        <v>1</v>
      </c>
      <c r="X65" s="154">
        <v>0</v>
      </c>
      <c r="Y65" s="154">
        <v>0</v>
      </c>
      <c r="Z65" s="154">
        <v>0</v>
      </c>
      <c r="AA65" s="154">
        <v>1</v>
      </c>
      <c r="AB65" s="154">
        <v>0</v>
      </c>
      <c r="AC65" s="155" t="s">
        <v>1495</v>
      </c>
      <c r="AD65" s="156" t="s">
        <v>1496</v>
      </c>
      <c r="AE65" s="156">
        <v>42</v>
      </c>
      <c r="AF65" s="157">
        <v>1</v>
      </c>
      <c r="AG65" s="158" t="s">
        <v>1571</v>
      </c>
      <c r="AH65" s="159" t="s">
        <v>1499</v>
      </c>
      <c r="AI65" s="160">
        <v>0</v>
      </c>
      <c r="AJ65" s="160">
        <v>0</v>
      </c>
      <c r="AK65" s="160">
        <v>0</v>
      </c>
      <c r="AL65" s="160">
        <v>1</v>
      </c>
      <c r="AM65" s="160">
        <v>0</v>
      </c>
      <c r="AN65" s="161">
        <v>0</v>
      </c>
      <c r="AO65" s="160">
        <v>0</v>
      </c>
      <c r="AP65" s="149" t="s">
        <v>1501</v>
      </c>
      <c r="AQ65" s="167" t="s">
        <v>1546</v>
      </c>
      <c r="AR65" s="150" t="s">
        <v>1503</v>
      </c>
      <c r="AS65" s="150">
        <f t="shared" si="1"/>
        <v>1</v>
      </c>
      <c r="AT65" s="150">
        <v>1</v>
      </c>
      <c r="AU65" s="150">
        <v>1</v>
      </c>
      <c r="AV65" s="150">
        <f t="shared" si="2"/>
        <v>0</v>
      </c>
      <c r="AW65" s="150">
        <v>0</v>
      </c>
      <c r="AX65" s="150">
        <v>0</v>
      </c>
      <c r="AY65" s="150">
        <f t="shared" si="3"/>
        <v>1</v>
      </c>
      <c r="AZ65" s="150">
        <v>1</v>
      </c>
      <c r="BA65" s="150">
        <f t="shared" si="4"/>
        <v>0</v>
      </c>
      <c r="BB65" s="150">
        <v>0</v>
      </c>
      <c r="BC65" s="150">
        <f t="shared" si="5"/>
        <v>1</v>
      </c>
      <c r="BD65" s="150">
        <v>1</v>
      </c>
      <c r="BE65" s="150">
        <f t="shared" si="6"/>
        <v>0</v>
      </c>
      <c r="BF65" s="151">
        <v>0</v>
      </c>
      <c r="BG65" s="150">
        <v>0</v>
      </c>
      <c r="BH65" s="150">
        <f t="shared" ref="BH65" si="117">IF(OR(BI65=1),1,0)</f>
        <v>0</v>
      </c>
      <c r="BI65" s="150">
        <v>0</v>
      </c>
      <c r="BJ65" s="150">
        <f t="shared" ref="BJ65" si="118">IF(OR(BK65=1),1,0)</f>
        <v>0</v>
      </c>
      <c r="BK65" s="150">
        <v>0</v>
      </c>
      <c r="BL65" s="152">
        <v>1</v>
      </c>
      <c r="BM65" s="153" t="s">
        <v>1561</v>
      </c>
      <c r="BN65" s="153">
        <v>0</v>
      </c>
      <c r="BO65" s="153">
        <v>1</v>
      </c>
      <c r="BP65" s="162" t="s">
        <v>1526</v>
      </c>
    </row>
    <row r="66" spans="1:68" x14ac:dyDescent="0.2">
      <c r="A66" s="146" t="s">
        <v>1458</v>
      </c>
      <c r="B66" s="147" t="str">
        <f>Elevage!L65</f>
        <v>SALAZIE</v>
      </c>
      <c r="C66" s="163">
        <f>Elevage!B65</f>
        <v>46153</v>
      </c>
      <c r="D66" s="147">
        <v>0</v>
      </c>
      <c r="E66" s="148">
        <v>0</v>
      </c>
      <c r="F66" s="148">
        <v>26</v>
      </c>
      <c r="G66" s="149">
        <v>2</v>
      </c>
      <c r="H66" s="150" t="s">
        <v>1493</v>
      </c>
      <c r="I66" s="150" t="s">
        <v>35</v>
      </c>
      <c r="J66" s="150">
        <v>300</v>
      </c>
      <c r="K66" s="150">
        <v>32</v>
      </c>
      <c r="L66" s="150">
        <v>2</v>
      </c>
      <c r="M66" s="150">
        <v>5</v>
      </c>
      <c r="N66" s="150">
        <v>1995</v>
      </c>
      <c r="O66" s="151">
        <f t="shared" si="0"/>
        <v>31</v>
      </c>
      <c r="P66" s="152">
        <v>0</v>
      </c>
      <c r="Q66" s="153" t="s">
        <v>1492</v>
      </c>
      <c r="R66" s="153">
        <v>0</v>
      </c>
      <c r="S66" s="153">
        <v>0</v>
      </c>
      <c r="T66" s="154" t="s">
        <v>1492</v>
      </c>
      <c r="U66" s="154">
        <v>0</v>
      </c>
      <c r="V66" s="154">
        <v>0</v>
      </c>
      <c r="W66" s="154">
        <v>1</v>
      </c>
      <c r="X66" s="154">
        <v>1</v>
      </c>
      <c r="Y66" s="154">
        <v>0</v>
      </c>
      <c r="Z66" s="154">
        <v>0</v>
      </c>
      <c r="AA66" s="154">
        <v>1</v>
      </c>
      <c r="AB66" s="154">
        <v>0</v>
      </c>
      <c r="AC66" s="155" t="s">
        <v>1496</v>
      </c>
      <c r="AD66" s="156" t="s">
        <v>1496</v>
      </c>
      <c r="AE66" s="156">
        <v>45</v>
      </c>
      <c r="AF66" s="157">
        <v>1</v>
      </c>
      <c r="AG66" s="158" t="s">
        <v>1571</v>
      </c>
      <c r="AH66" s="159" t="s">
        <v>1499</v>
      </c>
      <c r="AI66" s="160">
        <v>1</v>
      </c>
      <c r="AJ66" s="160">
        <v>0</v>
      </c>
      <c r="AK66" s="160">
        <v>0</v>
      </c>
      <c r="AL66" s="160">
        <v>0</v>
      </c>
      <c r="AM66" s="160">
        <v>0</v>
      </c>
      <c r="AN66" s="161">
        <v>0</v>
      </c>
      <c r="AO66" s="160">
        <v>0</v>
      </c>
      <c r="AP66" s="149" t="s">
        <v>1513</v>
      </c>
      <c r="AQ66" s="167" t="s">
        <v>1545</v>
      </c>
      <c r="AR66" s="150" t="s">
        <v>1503</v>
      </c>
      <c r="AS66" s="150">
        <f t="shared" si="1"/>
        <v>1</v>
      </c>
      <c r="AT66" s="150">
        <v>1</v>
      </c>
      <c r="AU66" s="150">
        <v>1</v>
      </c>
      <c r="AV66" s="150">
        <f t="shared" si="2"/>
        <v>1</v>
      </c>
      <c r="AW66" s="150">
        <v>0</v>
      </c>
      <c r="AX66" s="150">
        <v>1</v>
      </c>
      <c r="AY66" s="150">
        <f t="shared" si="3"/>
        <v>1</v>
      </c>
      <c r="AZ66" s="150">
        <v>1</v>
      </c>
      <c r="BA66" s="150">
        <f t="shared" si="4"/>
        <v>0</v>
      </c>
      <c r="BB66" s="150">
        <v>0</v>
      </c>
      <c r="BC66" s="150">
        <f t="shared" si="5"/>
        <v>0</v>
      </c>
      <c r="BD66" s="150">
        <v>0</v>
      </c>
      <c r="BE66" s="150">
        <f t="shared" si="6"/>
        <v>0</v>
      </c>
      <c r="BF66" s="151">
        <v>0</v>
      </c>
      <c r="BG66" s="150">
        <v>0</v>
      </c>
      <c r="BH66" s="150">
        <f t="shared" ref="BH66" si="119">IF(OR(BI66=1),1,0)</f>
        <v>0</v>
      </c>
      <c r="BI66" s="150">
        <v>0</v>
      </c>
      <c r="BJ66" s="150">
        <f t="shared" ref="BJ66" si="120">IF(OR(BK66=1),1,0)</f>
        <v>0</v>
      </c>
      <c r="BK66" s="150">
        <v>0</v>
      </c>
      <c r="BL66" s="152">
        <v>1</v>
      </c>
      <c r="BM66" s="153" t="s">
        <v>1597</v>
      </c>
      <c r="BN66" s="153">
        <v>0</v>
      </c>
      <c r="BO66" s="153">
        <v>0</v>
      </c>
      <c r="BP66" s="162" t="s">
        <v>1530</v>
      </c>
    </row>
    <row r="67" spans="1:68" x14ac:dyDescent="0.2">
      <c r="A67" s="146" t="s">
        <v>1459</v>
      </c>
      <c r="B67" s="147" t="str">
        <f>Elevage!L66</f>
        <v>SALAZIE</v>
      </c>
      <c r="C67" s="163">
        <f>Elevage!B66</f>
        <v>46153</v>
      </c>
      <c r="D67" s="147">
        <v>1</v>
      </c>
      <c r="E67" s="148">
        <v>0</v>
      </c>
      <c r="F67" s="148">
        <v>23</v>
      </c>
      <c r="G67" s="149">
        <v>2</v>
      </c>
      <c r="H67" s="150" t="s">
        <v>1513</v>
      </c>
      <c r="I67" s="150" t="s">
        <v>35</v>
      </c>
      <c r="J67" s="150">
        <v>500</v>
      </c>
      <c r="K67" s="150">
        <v>70</v>
      </c>
      <c r="L67" s="150">
        <v>2</v>
      </c>
      <c r="M67" s="150">
        <v>7</v>
      </c>
      <c r="N67" s="150">
        <v>1980</v>
      </c>
      <c r="O67" s="151">
        <f t="shared" si="0"/>
        <v>46</v>
      </c>
      <c r="P67" s="152">
        <v>0</v>
      </c>
      <c r="Q67" s="153" t="s">
        <v>1492</v>
      </c>
      <c r="R67" s="153">
        <v>1</v>
      </c>
      <c r="S67" s="153">
        <v>0</v>
      </c>
      <c r="T67" s="154" t="s">
        <v>1492</v>
      </c>
      <c r="U67" s="154">
        <v>0</v>
      </c>
      <c r="V67" s="154">
        <v>0</v>
      </c>
      <c r="W67" s="154">
        <v>0</v>
      </c>
      <c r="X67" s="154">
        <v>0</v>
      </c>
      <c r="Y67" s="154">
        <v>0</v>
      </c>
      <c r="Z67" s="154">
        <v>0</v>
      </c>
      <c r="AA67" s="154">
        <v>1</v>
      </c>
      <c r="AB67" s="154">
        <v>0</v>
      </c>
      <c r="AC67" s="155" t="s">
        <v>1514</v>
      </c>
      <c r="AD67" s="156" t="s">
        <v>1496</v>
      </c>
      <c r="AE67" s="156">
        <v>0</v>
      </c>
      <c r="AF67" s="157">
        <v>1</v>
      </c>
      <c r="AG67" s="158" t="s">
        <v>1598</v>
      </c>
      <c r="AH67" s="159" t="s">
        <v>1499</v>
      </c>
      <c r="AI67" s="160">
        <v>0</v>
      </c>
      <c r="AJ67" s="160">
        <v>0</v>
      </c>
      <c r="AK67" s="160">
        <v>0</v>
      </c>
      <c r="AL67" s="160">
        <v>1</v>
      </c>
      <c r="AM67" s="160">
        <v>0</v>
      </c>
      <c r="AN67" s="161">
        <v>0</v>
      </c>
      <c r="AO67" s="160">
        <v>1</v>
      </c>
      <c r="AP67" s="149" t="s">
        <v>1513</v>
      </c>
      <c r="AQ67" s="167" t="s">
        <v>1546</v>
      </c>
      <c r="AR67" s="150" t="s">
        <v>1503</v>
      </c>
      <c r="AS67" s="150">
        <f t="shared" si="1"/>
        <v>1</v>
      </c>
      <c r="AT67" s="150">
        <v>1</v>
      </c>
      <c r="AU67" s="150">
        <v>0</v>
      </c>
      <c r="AV67" s="150">
        <f t="shared" si="2"/>
        <v>1</v>
      </c>
      <c r="AW67" s="150">
        <v>0</v>
      </c>
      <c r="AX67" s="150">
        <v>1</v>
      </c>
      <c r="AY67" s="150">
        <f t="shared" si="3"/>
        <v>1</v>
      </c>
      <c r="AZ67" s="150">
        <v>1</v>
      </c>
      <c r="BA67" s="150">
        <f t="shared" si="4"/>
        <v>0</v>
      </c>
      <c r="BB67" s="150">
        <v>0</v>
      </c>
      <c r="BC67" s="150">
        <f t="shared" si="5"/>
        <v>0</v>
      </c>
      <c r="BD67" s="150">
        <v>0</v>
      </c>
      <c r="BE67" s="150">
        <f t="shared" si="6"/>
        <v>0</v>
      </c>
      <c r="BF67" s="151">
        <v>0</v>
      </c>
      <c r="BG67" s="150">
        <v>0</v>
      </c>
      <c r="BH67" s="150">
        <f t="shared" ref="BH67" si="121">IF(OR(BI67=1),1,0)</f>
        <v>0</v>
      </c>
      <c r="BI67" s="150">
        <v>0</v>
      </c>
      <c r="BJ67" s="150">
        <f t="shared" ref="BJ67" si="122">IF(OR(BK67=1),1,0)</f>
        <v>0</v>
      </c>
      <c r="BK67" s="150">
        <v>0</v>
      </c>
      <c r="BL67" s="152">
        <v>1</v>
      </c>
      <c r="BM67" s="153" t="s">
        <v>1599</v>
      </c>
      <c r="BN67" s="153">
        <v>1</v>
      </c>
      <c r="BO67" s="153">
        <v>1</v>
      </c>
      <c r="BP67" s="162" t="s">
        <v>1553</v>
      </c>
    </row>
    <row r="68" spans="1:68" x14ac:dyDescent="0.2">
      <c r="A68" s="146" t="s">
        <v>1460</v>
      </c>
      <c r="B68" s="147" t="str">
        <f>Elevage!L67</f>
        <v>SALAZIE</v>
      </c>
      <c r="C68" s="163">
        <f>Elevage!B67</f>
        <v>46153</v>
      </c>
      <c r="D68" s="147">
        <v>0</v>
      </c>
      <c r="E68" s="148">
        <v>0</v>
      </c>
      <c r="G68" s="149">
        <v>3</v>
      </c>
      <c r="H68" s="150" t="s">
        <v>1505</v>
      </c>
      <c r="I68" s="150" t="s">
        <v>35</v>
      </c>
      <c r="J68" s="150">
        <v>150</v>
      </c>
      <c r="K68" s="150">
        <v>15</v>
      </c>
      <c r="L68" s="150">
        <v>2</v>
      </c>
      <c r="M68" s="150">
        <v>4</v>
      </c>
      <c r="N68" s="150">
        <v>1990</v>
      </c>
      <c r="O68" s="151">
        <f t="shared" si="0"/>
        <v>36</v>
      </c>
      <c r="P68" s="152">
        <v>0</v>
      </c>
      <c r="Q68" s="153" t="s">
        <v>1492</v>
      </c>
      <c r="R68" s="153">
        <v>1</v>
      </c>
      <c r="S68" s="153">
        <v>1</v>
      </c>
      <c r="T68" s="154" t="s">
        <v>1487</v>
      </c>
      <c r="U68" s="154">
        <v>0</v>
      </c>
      <c r="V68" s="154">
        <v>0</v>
      </c>
      <c r="W68" s="154">
        <v>0</v>
      </c>
      <c r="X68" s="154">
        <v>0</v>
      </c>
      <c r="Y68" s="154">
        <v>0</v>
      </c>
      <c r="Z68" s="154">
        <v>0</v>
      </c>
      <c r="AA68" s="154">
        <v>1</v>
      </c>
      <c r="AB68" s="154">
        <v>0</v>
      </c>
      <c r="AC68" s="155" t="s">
        <v>1496</v>
      </c>
      <c r="AD68" s="156" t="s">
        <v>1514</v>
      </c>
      <c r="AE68" s="156">
        <v>40</v>
      </c>
      <c r="AF68" s="157">
        <v>1</v>
      </c>
      <c r="AG68" s="158" t="s">
        <v>1600</v>
      </c>
      <c r="AH68" s="159" t="s">
        <v>1499</v>
      </c>
      <c r="AI68" s="160">
        <v>1</v>
      </c>
      <c r="AJ68" s="160">
        <v>1</v>
      </c>
      <c r="AK68" s="160">
        <v>0</v>
      </c>
      <c r="AL68" s="160">
        <v>1</v>
      </c>
      <c r="AM68" s="160">
        <v>0</v>
      </c>
      <c r="AN68" s="161">
        <v>0</v>
      </c>
      <c r="AO68" s="160">
        <v>1</v>
      </c>
      <c r="AP68" s="149" t="s">
        <v>1501</v>
      </c>
      <c r="AQ68" s="167" t="s">
        <v>1546</v>
      </c>
      <c r="AR68" s="150" t="s">
        <v>1531</v>
      </c>
      <c r="AS68" s="150">
        <f t="shared" si="1"/>
        <v>1</v>
      </c>
      <c r="AT68" s="150">
        <v>1</v>
      </c>
      <c r="AU68" s="150">
        <v>1</v>
      </c>
      <c r="AV68" s="150">
        <f t="shared" si="2"/>
        <v>1</v>
      </c>
      <c r="AW68" s="150">
        <v>1</v>
      </c>
      <c r="AX68" s="150">
        <v>1</v>
      </c>
      <c r="AY68" s="150">
        <f t="shared" si="3"/>
        <v>1</v>
      </c>
      <c r="AZ68" s="150">
        <v>1</v>
      </c>
      <c r="BA68" s="150">
        <f t="shared" si="4"/>
        <v>0</v>
      </c>
      <c r="BB68" s="150">
        <v>0</v>
      </c>
      <c r="BC68" s="150">
        <f t="shared" si="5"/>
        <v>0</v>
      </c>
      <c r="BD68" s="150">
        <v>0</v>
      </c>
      <c r="BE68" s="150">
        <f t="shared" si="6"/>
        <v>1</v>
      </c>
      <c r="BF68" s="151">
        <v>0</v>
      </c>
      <c r="BG68" s="150">
        <v>1</v>
      </c>
      <c r="BH68" s="150">
        <f t="shared" ref="BH68" si="123">IF(OR(BI68=1),1,0)</f>
        <v>0</v>
      </c>
      <c r="BI68" s="150">
        <v>0</v>
      </c>
      <c r="BJ68" s="150">
        <f t="shared" ref="BJ68" si="124">IF(OR(BK68=1),1,0)</f>
        <v>0</v>
      </c>
      <c r="BK68" s="150">
        <v>0</v>
      </c>
      <c r="BL68" s="152">
        <v>1</v>
      </c>
      <c r="BM68" s="153" t="s">
        <v>1562</v>
      </c>
      <c r="BN68" s="153">
        <v>0</v>
      </c>
      <c r="BO68" s="153">
        <v>0</v>
      </c>
      <c r="BP68" s="162" t="s">
        <v>1530</v>
      </c>
    </row>
    <row r="69" spans="1:68" x14ac:dyDescent="0.2">
      <c r="A69" s="146" t="s">
        <v>1461</v>
      </c>
      <c r="B69" s="147" t="str">
        <f>Elevage!L68</f>
        <v>SALAZIE</v>
      </c>
      <c r="C69" s="163">
        <f>Elevage!B68</f>
        <v>46153</v>
      </c>
      <c r="D69" s="147">
        <v>0</v>
      </c>
      <c r="E69" s="148">
        <v>0</v>
      </c>
      <c r="F69" s="148">
        <v>26</v>
      </c>
      <c r="G69" s="149">
        <v>2</v>
      </c>
      <c r="H69" s="150" t="s">
        <v>1513</v>
      </c>
      <c r="I69" s="150" t="s">
        <v>35</v>
      </c>
      <c r="J69" s="150">
        <v>600</v>
      </c>
      <c r="K69" s="150">
        <v>36</v>
      </c>
      <c r="L69" s="150">
        <v>1</v>
      </c>
      <c r="M69" s="150">
        <v>6</v>
      </c>
      <c r="N69" s="150">
        <v>1991</v>
      </c>
      <c r="O69" s="151">
        <f t="shared" ref="O69:O92" si="125">2026-N69</f>
        <v>35</v>
      </c>
      <c r="P69" s="152">
        <v>0</v>
      </c>
      <c r="Q69" s="153" t="s">
        <v>1492</v>
      </c>
      <c r="R69" s="153">
        <v>1</v>
      </c>
      <c r="S69" s="153">
        <v>1</v>
      </c>
      <c r="T69" s="154" t="s">
        <v>1487</v>
      </c>
      <c r="U69" s="154">
        <v>0</v>
      </c>
      <c r="V69" s="154">
        <v>0</v>
      </c>
      <c r="W69" s="154">
        <v>0</v>
      </c>
      <c r="X69" s="154">
        <v>0</v>
      </c>
      <c r="Y69" s="154">
        <v>0</v>
      </c>
      <c r="Z69" s="154">
        <v>0</v>
      </c>
      <c r="AA69" s="154">
        <v>1</v>
      </c>
      <c r="AB69" s="154">
        <v>0</v>
      </c>
      <c r="AC69" s="155" t="s">
        <v>1496</v>
      </c>
      <c r="AD69" s="156" t="s">
        <v>1514</v>
      </c>
      <c r="AE69" s="156">
        <v>40</v>
      </c>
      <c r="AF69" s="157">
        <v>1</v>
      </c>
      <c r="AG69" s="158" t="s">
        <v>1571</v>
      </c>
      <c r="AH69" s="159" t="s">
        <v>1499</v>
      </c>
      <c r="AI69" s="160">
        <v>0</v>
      </c>
      <c r="AJ69" s="160">
        <v>1</v>
      </c>
      <c r="AK69" s="160">
        <v>0</v>
      </c>
      <c r="AL69" s="160">
        <v>1</v>
      </c>
      <c r="AM69" s="160">
        <v>0</v>
      </c>
      <c r="AN69" s="161">
        <v>0</v>
      </c>
      <c r="AO69" s="160">
        <v>1</v>
      </c>
      <c r="AP69" s="149" t="s">
        <v>1568</v>
      </c>
      <c r="AQ69" s="167" t="s">
        <v>1545</v>
      </c>
      <c r="AR69" s="150" t="s">
        <v>1503</v>
      </c>
      <c r="AS69" s="150">
        <f t="shared" ref="AS69:AS92" si="126">IF(OR(AT69=1,AU69=1),1,0)</f>
        <v>1</v>
      </c>
      <c r="AT69" s="150">
        <v>1</v>
      </c>
      <c r="AU69" s="150">
        <v>0</v>
      </c>
      <c r="AV69" s="150">
        <f t="shared" ref="AV69:AV92" si="127">IF(OR(AW69=1,AX69),1,0)</f>
        <v>1</v>
      </c>
      <c r="AW69" s="150">
        <v>0</v>
      </c>
      <c r="AX69" s="150">
        <v>1</v>
      </c>
      <c r="AY69" s="150">
        <f t="shared" ref="AY69:AY92" si="128">IF(OR(AZ69=1),1,0)</f>
        <v>0</v>
      </c>
      <c r="AZ69" s="150">
        <v>0</v>
      </c>
      <c r="BA69" s="150">
        <f t="shared" ref="BA69:BA92" si="129">IF(OR(BB69=1),1,0)</f>
        <v>0</v>
      </c>
      <c r="BB69" s="150">
        <v>0</v>
      </c>
      <c r="BC69" s="150">
        <f t="shared" ref="BC69:BC92" si="130">IF(OR(BD69=1),1,0)</f>
        <v>0</v>
      </c>
      <c r="BD69" s="150">
        <v>0</v>
      </c>
      <c r="BE69" s="150">
        <f t="shared" ref="BE69:BE92" si="131">IF(OR(BG69=1,BF69),1,0)</f>
        <v>0</v>
      </c>
      <c r="BF69" s="151">
        <v>0</v>
      </c>
      <c r="BG69" s="150">
        <v>0</v>
      </c>
      <c r="BH69" s="150">
        <f t="shared" ref="BH69" si="132">IF(OR(BI69=1),1,0)</f>
        <v>0</v>
      </c>
      <c r="BI69" s="150">
        <v>0</v>
      </c>
      <c r="BJ69" s="150">
        <f t="shared" ref="BJ69" si="133">IF(OR(BK69=1),1,0)</f>
        <v>0</v>
      </c>
      <c r="BK69" s="150">
        <v>0</v>
      </c>
      <c r="BL69" s="152">
        <v>1</v>
      </c>
      <c r="BM69" s="153" t="s">
        <v>1531</v>
      </c>
      <c r="BN69" s="153">
        <v>0</v>
      </c>
      <c r="BO69" s="153">
        <v>1</v>
      </c>
      <c r="BP69" s="162" t="s">
        <v>1526</v>
      </c>
    </row>
    <row r="70" spans="1:68" x14ac:dyDescent="0.2">
      <c r="A70" s="146" t="s">
        <v>1462</v>
      </c>
      <c r="B70" s="147" t="str">
        <f>Elevage!L69</f>
        <v>SALAZIE</v>
      </c>
      <c r="C70" s="163">
        <f>Elevage!B69</f>
        <v>46154</v>
      </c>
      <c r="D70" s="147">
        <v>0</v>
      </c>
      <c r="E70" s="148">
        <v>0</v>
      </c>
      <c r="F70" s="148">
        <v>26</v>
      </c>
      <c r="G70" s="149">
        <v>1</v>
      </c>
      <c r="H70" s="150" t="s">
        <v>1513</v>
      </c>
      <c r="I70" s="150" t="s">
        <v>35</v>
      </c>
      <c r="J70" s="150">
        <v>200</v>
      </c>
      <c r="K70" s="150">
        <v>22</v>
      </c>
      <c r="L70" s="150">
        <v>2</v>
      </c>
      <c r="M70" s="150">
        <v>7</v>
      </c>
      <c r="N70" s="150">
        <v>1990</v>
      </c>
      <c r="O70" s="151">
        <f t="shared" si="125"/>
        <v>36</v>
      </c>
      <c r="P70" s="152">
        <v>0</v>
      </c>
      <c r="Q70" s="153" t="s">
        <v>1492</v>
      </c>
      <c r="R70" s="153">
        <v>1</v>
      </c>
      <c r="S70" s="153">
        <v>0</v>
      </c>
      <c r="T70" s="154" t="s">
        <v>1492</v>
      </c>
      <c r="U70" s="154">
        <v>0</v>
      </c>
      <c r="V70" s="154">
        <v>0</v>
      </c>
      <c r="W70" s="154">
        <v>0</v>
      </c>
      <c r="X70" s="154">
        <v>1</v>
      </c>
      <c r="Y70" s="154">
        <v>0</v>
      </c>
      <c r="Z70" s="154">
        <v>0</v>
      </c>
      <c r="AA70" s="154">
        <v>1</v>
      </c>
      <c r="AB70" s="154">
        <v>0</v>
      </c>
      <c r="AC70" s="155" t="s">
        <v>1514</v>
      </c>
      <c r="AD70" s="156" t="s">
        <v>1496</v>
      </c>
      <c r="AF70" s="157">
        <v>0</v>
      </c>
      <c r="AG70" s="158" t="s">
        <v>1492</v>
      </c>
      <c r="AH70" s="159" t="s">
        <v>1499</v>
      </c>
      <c r="AI70" s="160">
        <v>1</v>
      </c>
      <c r="AJ70" s="160">
        <v>0</v>
      </c>
      <c r="AK70" s="160">
        <v>0</v>
      </c>
      <c r="AL70" s="160">
        <v>0</v>
      </c>
      <c r="AM70" s="160">
        <v>0</v>
      </c>
      <c r="AN70" s="161">
        <v>0</v>
      </c>
      <c r="AO70" s="160">
        <v>1</v>
      </c>
      <c r="AP70" s="149" t="s">
        <v>1568</v>
      </c>
      <c r="AQ70" s="167" t="s">
        <v>1546</v>
      </c>
      <c r="AR70" s="150" t="s">
        <v>1503</v>
      </c>
      <c r="AS70" s="150">
        <f t="shared" si="126"/>
        <v>1</v>
      </c>
      <c r="AT70" s="150">
        <v>1</v>
      </c>
      <c r="AU70" s="150">
        <v>0</v>
      </c>
      <c r="AV70" s="150">
        <f t="shared" si="127"/>
        <v>0</v>
      </c>
      <c r="AW70" s="150">
        <v>0</v>
      </c>
      <c r="AX70" s="150">
        <v>0</v>
      </c>
      <c r="AY70" s="150">
        <f t="shared" si="128"/>
        <v>0</v>
      </c>
      <c r="AZ70" s="150">
        <v>0</v>
      </c>
      <c r="BA70" s="150">
        <f t="shared" si="129"/>
        <v>0</v>
      </c>
      <c r="BB70" s="150">
        <v>0</v>
      </c>
      <c r="BC70" s="150">
        <f t="shared" si="130"/>
        <v>0</v>
      </c>
      <c r="BD70" s="150">
        <v>0</v>
      </c>
      <c r="BE70" s="150">
        <f t="shared" si="131"/>
        <v>1</v>
      </c>
      <c r="BF70" s="151">
        <v>0</v>
      </c>
      <c r="BG70" s="150">
        <v>1</v>
      </c>
      <c r="BH70" s="150">
        <f t="shared" ref="BH70" si="134">IF(OR(BI70=1),1,0)</f>
        <v>1</v>
      </c>
      <c r="BI70" s="150">
        <v>1</v>
      </c>
      <c r="BJ70" s="150">
        <f t="shared" ref="BJ70" si="135">IF(OR(BK70=1),1,0)</f>
        <v>0</v>
      </c>
      <c r="BK70" s="150">
        <v>0</v>
      </c>
      <c r="BL70" s="152">
        <v>1</v>
      </c>
      <c r="BM70" s="153" t="s">
        <v>1601</v>
      </c>
      <c r="BN70" s="153">
        <v>1</v>
      </c>
      <c r="BO70" s="153">
        <v>1</v>
      </c>
      <c r="BP70" s="162" t="s">
        <v>1553</v>
      </c>
    </row>
    <row r="71" spans="1:68" x14ac:dyDescent="0.2">
      <c r="A71" s="146" t="s">
        <v>1463</v>
      </c>
      <c r="B71" s="147" t="str">
        <f>Elevage!L70</f>
        <v>SALAZIE</v>
      </c>
      <c r="C71" s="163">
        <f>Elevage!B70</f>
        <v>46154</v>
      </c>
      <c r="D71" s="147">
        <v>0</v>
      </c>
      <c r="E71" s="148">
        <v>0</v>
      </c>
      <c r="F71" s="148">
        <v>29</v>
      </c>
      <c r="G71" s="149">
        <v>4</v>
      </c>
      <c r="H71" s="150" t="s">
        <v>1505</v>
      </c>
      <c r="I71" s="150" t="s">
        <v>35</v>
      </c>
      <c r="J71" s="150">
        <v>550</v>
      </c>
      <c r="K71" s="150">
        <v>38</v>
      </c>
      <c r="L71" s="150">
        <v>1</v>
      </c>
      <c r="M71" s="150">
        <v>7</v>
      </c>
      <c r="N71" s="150">
        <v>1992</v>
      </c>
      <c r="O71" s="151">
        <f t="shared" si="125"/>
        <v>34</v>
      </c>
      <c r="P71" s="152">
        <v>0</v>
      </c>
      <c r="Q71" s="153" t="s">
        <v>1492</v>
      </c>
      <c r="R71" s="153">
        <v>1</v>
      </c>
      <c r="S71" s="153">
        <v>1</v>
      </c>
      <c r="T71" s="154" t="s">
        <v>1487</v>
      </c>
      <c r="U71" s="154">
        <v>0</v>
      </c>
      <c r="V71" s="154">
        <v>0</v>
      </c>
      <c r="W71" s="154">
        <v>0</v>
      </c>
      <c r="X71" s="154">
        <v>0</v>
      </c>
      <c r="Y71" s="154">
        <v>0</v>
      </c>
      <c r="Z71" s="154">
        <v>0</v>
      </c>
      <c r="AA71" s="154">
        <v>1</v>
      </c>
      <c r="AB71" s="154">
        <v>0</v>
      </c>
      <c r="AC71" s="155" t="s">
        <v>1496</v>
      </c>
      <c r="AD71" s="156" t="s">
        <v>1496</v>
      </c>
      <c r="AE71" s="156">
        <v>40</v>
      </c>
      <c r="AF71" s="157">
        <v>1</v>
      </c>
      <c r="AG71" s="158" t="s">
        <v>1571</v>
      </c>
      <c r="AH71" s="159" t="s">
        <v>1499</v>
      </c>
      <c r="AI71" s="160">
        <v>0</v>
      </c>
      <c r="AJ71" s="160">
        <v>1</v>
      </c>
      <c r="AK71" s="160">
        <v>0</v>
      </c>
      <c r="AL71" s="160">
        <v>1</v>
      </c>
      <c r="AM71" s="160">
        <v>0</v>
      </c>
      <c r="AN71" s="161">
        <v>0</v>
      </c>
      <c r="AO71" s="160">
        <v>0</v>
      </c>
      <c r="AP71" s="149" t="s">
        <v>1513</v>
      </c>
      <c r="AQ71" s="167" t="s">
        <v>1545</v>
      </c>
      <c r="AR71" s="150" t="s">
        <v>1503</v>
      </c>
      <c r="AS71" s="150">
        <f t="shared" si="126"/>
        <v>1</v>
      </c>
      <c r="AT71" s="150">
        <v>1</v>
      </c>
      <c r="AU71" s="150">
        <v>1</v>
      </c>
      <c r="AV71" s="150">
        <f t="shared" si="127"/>
        <v>0</v>
      </c>
      <c r="AW71" s="150">
        <v>0</v>
      </c>
      <c r="AX71" s="150">
        <v>0</v>
      </c>
      <c r="AY71" s="150">
        <f t="shared" si="128"/>
        <v>1</v>
      </c>
      <c r="AZ71" s="150">
        <v>1</v>
      </c>
      <c r="BA71" s="150">
        <f t="shared" si="129"/>
        <v>0</v>
      </c>
      <c r="BB71" s="150">
        <v>0</v>
      </c>
      <c r="BC71" s="150">
        <f t="shared" si="130"/>
        <v>0</v>
      </c>
      <c r="BD71" s="150">
        <v>0</v>
      </c>
      <c r="BE71" s="150">
        <f t="shared" si="131"/>
        <v>0</v>
      </c>
      <c r="BF71" s="151">
        <v>0</v>
      </c>
      <c r="BG71" s="150">
        <v>0</v>
      </c>
      <c r="BH71" s="150">
        <f t="shared" ref="BH71" si="136">IF(OR(BI71=1),1,0)</f>
        <v>0</v>
      </c>
      <c r="BI71" s="150">
        <v>0</v>
      </c>
      <c r="BJ71" s="150">
        <f t="shared" ref="BJ71" si="137">IF(OR(BK71=1),1,0)</f>
        <v>0</v>
      </c>
      <c r="BK71" s="150">
        <v>0</v>
      </c>
      <c r="BL71" s="152">
        <v>1</v>
      </c>
      <c r="BM71" s="153" t="s">
        <v>1561</v>
      </c>
      <c r="BN71" s="153">
        <v>0</v>
      </c>
      <c r="BO71" s="153">
        <v>1</v>
      </c>
      <c r="BP71" s="162" t="s">
        <v>1602</v>
      </c>
    </row>
    <row r="72" spans="1:68" x14ac:dyDescent="0.2">
      <c r="A72" s="146" t="s">
        <v>1464</v>
      </c>
      <c r="B72" s="147" t="str">
        <f>Elevage!L71</f>
        <v>SALAZIE</v>
      </c>
      <c r="C72" s="163">
        <f>Elevage!B71</f>
        <v>46154</v>
      </c>
      <c r="D72" s="147">
        <v>0</v>
      </c>
      <c r="E72" s="148">
        <v>0</v>
      </c>
      <c r="G72" s="149">
        <v>2</v>
      </c>
      <c r="H72" s="150" t="s">
        <v>1513</v>
      </c>
      <c r="I72" s="150" t="s">
        <v>35</v>
      </c>
      <c r="J72" s="150">
        <v>375</v>
      </c>
      <c r="K72" s="150">
        <v>32</v>
      </c>
      <c r="L72" s="150">
        <v>1</v>
      </c>
      <c r="M72" s="150">
        <v>4</v>
      </c>
      <c r="N72" s="150">
        <v>1990</v>
      </c>
      <c r="O72" s="151">
        <f t="shared" si="125"/>
        <v>36</v>
      </c>
      <c r="P72" s="152">
        <v>0</v>
      </c>
      <c r="Q72" s="153" t="s">
        <v>1492</v>
      </c>
      <c r="R72" s="153">
        <v>1</v>
      </c>
      <c r="S72" s="153">
        <v>1</v>
      </c>
      <c r="T72" s="154" t="s">
        <v>1487</v>
      </c>
      <c r="U72" s="154">
        <v>0</v>
      </c>
      <c r="V72" s="154">
        <v>0</v>
      </c>
      <c r="W72" s="154">
        <v>0</v>
      </c>
      <c r="X72" s="154">
        <v>1</v>
      </c>
      <c r="Y72" s="154">
        <v>0</v>
      </c>
      <c r="Z72" s="154">
        <v>0</v>
      </c>
      <c r="AA72" s="154">
        <v>1</v>
      </c>
      <c r="AB72" s="154">
        <v>0</v>
      </c>
      <c r="AC72" s="155" t="s">
        <v>1514</v>
      </c>
      <c r="AD72" s="156" t="s">
        <v>1496</v>
      </c>
      <c r="AE72" s="156">
        <v>35</v>
      </c>
      <c r="AF72" s="157">
        <v>1</v>
      </c>
      <c r="AG72" s="158" t="s">
        <v>1571</v>
      </c>
      <c r="AH72" s="159" t="s">
        <v>1499</v>
      </c>
      <c r="AI72" s="160">
        <v>1</v>
      </c>
      <c r="AJ72" s="160">
        <v>1</v>
      </c>
      <c r="AK72" s="160">
        <v>1</v>
      </c>
      <c r="AL72" s="160">
        <v>0</v>
      </c>
      <c r="AM72" s="160">
        <v>0</v>
      </c>
      <c r="AN72" s="161">
        <v>0</v>
      </c>
      <c r="AO72" s="160">
        <v>1</v>
      </c>
      <c r="AP72" s="149" t="s">
        <v>1501</v>
      </c>
      <c r="AQ72" s="167" t="s">
        <v>1546</v>
      </c>
      <c r="AR72" s="150" t="s">
        <v>1503</v>
      </c>
      <c r="AS72" s="150">
        <f t="shared" si="126"/>
        <v>1</v>
      </c>
      <c r="AT72" s="150">
        <v>1</v>
      </c>
      <c r="AU72" s="150">
        <v>0</v>
      </c>
      <c r="AV72" s="150">
        <f t="shared" si="127"/>
        <v>1</v>
      </c>
      <c r="AW72" s="150">
        <v>0</v>
      </c>
      <c r="AX72" s="150">
        <v>1</v>
      </c>
      <c r="AY72" s="150">
        <f t="shared" si="128"/>
        <v>0</v>
      </c>
      <c r="AZ72" s="150">
        <v>0</v>
      </c>
      <c r="BA72" s="150">
        <f t="shared" si="129"/>
        <v>0</v>
      </c>
      <c r="BB72" s="150">
        <v>0</v>
      </c>
      <c r="BC72" s="150">
        <f t="shared" si="130"/>
        <v>0</v>
      </c>
      <c r="BD72" s="150">
        <v>0</v>
      </c>
      <c r="BE72" s="150">
        <f t="shared" si="131"/>
        <v>0</v>
      </c>
      <c r="BF72" s="151">
        <v>0</v>
      </c>
      <c r="BG72" s="150">
        <v>0</v>
      </c>
      <c r="BH72" s="150">
        <f t="shared" ref="BH72" si="138">IF(OR(BI72=1),1,0)</f>
        <v>0</v>
      </c>
      <c r="BI72" s="150">
        <v>0</v>
      </c>
      <c r="BJ72" s="150">
        <f t="shared" ref="BJ72" si="139">IF(OR(BK72=1),1,0)</f>
        <v>0</v>
      </c>
      <c r="BK72" s="150">
        <v>0</v>
      </c>
      <c r="BL72" s="152">
        <v>1</v>
      </c>
      <c r="BM72" s="153" t="s">
        <v>1561</v>
      </c>
      <c r="BN72" s="153">
        <v>0</v>
      </c>
      <c r="BO72" s="153">
        <v>0</v>
      </c>
      <c r="BP72" s="162" t="s">
        <v>1530</v>
      </c>
    </row>
    <row r="73" spans="1:68" x14ac:dyDescent="0.2">
      <c r="A73" s="146" t="s">
        <v>1465</v>
      </c>
      <c r="B73" s="147" t="str">
        <f>Elevage!L72</f>
        <v>SALAZIE</v>
      </c>
      <c r="C73" s="163">
        <f>Elevage!B72</f>
        <v>46154</v>
      </c>
      <c r="D73" s="147">
        <v>1</v>
      </c>
      <c r="E73" s="148">
        <v>1</v>
      </c>
      <c r="F73" s="148">
        <v>25</v>
      </c>
      <c r="G73" s="149">
        <v>2</v>
      </c>
      <c r="H73" s="150" t="s">
        <v>1493</v>
      </c>
      <c r="I73" s="150" t="s">
        <v>35</v>
      </c>
      <c r="J73" s="150">
        <v>700</v>
      </c>
      <c r="K73" s="150">
        <v>60</v>
      </c>
      <c r="L73" s="150">
        <v>1</v>
      </c>
      <c r="M73" s="150">
        <v>7</v>
      </c>
      <c r="N73" s="150">
        <v>1990</v>
      </c>
      <c r="O73" s="151">
        <f t="shared" si="125"/>
        <v>36</v>
      </c>
      <c r="P73" s="152">
        <v>1</v>
      </c>
      <c r="Q73" s="153" t="s">
        <v>1554</v>
      </c>
      <c r="R73" s="153">
        <v>1</v>
      </c>
      <c r="S73" s="153">
        <v>1</v>
      </c>
      <c r="T73" s="154" t="s">
        <v>1487</v>
      </c>
      <c r="U73" s="154">
        <v>0</v>
      </c>
      <c r="V73" s="154">
        <v>0</v>
      </c>
      <c r="W73" s="154">
        <v>1</v>
      </c>
      <c r="X73" s="154">
        <v>0</v>
      </c>
      <c r="Y73" s="154">
        <v>0</v>
      </c>
      <c r="Z73" s="154">
        <v>0</v>
      </c>
      <c r="AA73" s="154">
        <v>1</v>
      </c>
      <c r="AB73" s="154">
        <v>0</v>
      </c>
      <c r="AC73" s="155" t="s">
        <v>1496</v>
      </c>
      <c r="AD73" s="156" t="s">
        <v>1496</v>
      </c>
      <c r="AE73" s="156">
        <v>40</v>
      </c>
      <c r="AF73" s="157">
        <v>1</v>
      </c>
      <c r="AG73" s="158" t="s">
        <v>1571</v>
      </c>
      <c r="AH73" s="159" t="s">
        <v>1499</v>
      </c>
      <c r="AI73" s="160">
        <v>0</v>
      </c>
      <c r="AJ73" s="160">
        <v>1</v>
      </c>
      <c r="AK73" s="160">
        <v>1</v>
      </c>
      <c r="AL73" s="160">
        <v>0</v>
      </c>
      <c r="AM73" s="160">
        <v>0</v>
      </c>
      <c r="AN73" s="161">
        <v>0</v>
      </c>
      <c r="AO73" s="160">
        <v>1</v>
      </c>
      <c r="AP73" s="149" t="s">
        <v>1501</v>
      </c>
      <c r="AQ73" s="167" t="s">
        <v>1546</v>
      </c>
      <c r="AR73" s="150" t="s">
        <v>1503</v>
      </c>
      <c r="AS73" s="150">
        <f t="shared" si="126"/>
        <v>1</v>
      </c>
      <c r="AT73" s="150">
        <v>1</v>
      </c>
      <c r="AU73" s="150">
        <v>0</v>
      </c>
      <c r="AV73" s="150">
        <f t="shared" si="127"/>
        <v>1</v>
      </c>
      <c r="AW73" s="150">
        <v>0</v>
      </c>
      <c r="AX73" s="150">
        <v>1</v>
      </c>
      <c r="AY73" s="150">
        <f t="shared" si="128"/>
        <v>1</v>
      </c>
      <c r="AZ73" s="150">
        <v>1</v>
      </c>
      <c r="BA73" s="150">
        <f t="shared" si="129"/>
        <v>0</v>
      </c>
      <c r="BB73" s="150">
        <v>0</v>
      </c>
      <c r="BC73" s="150">
        <f t="shared" si="130"/>
        <v>0</v>
      </c>
      <c r="BD73" s="150">
        <v>0</v>
      </c>
      <c r="BE73" s="150">
        <f t="shared" si="131"/>
        <v>0</v>
      </c>
      <c r="BF73" s="151">
        <v>0</v>
      </c>
      <c r="BG73" s="150">
        <v>0</v>
      </c>
      <c r="BH73" s="150">
        <f t="shared" ref="BH73" si="140">IF(OR(BI73=1),1,0)</f>
        <v>0</v>
      </c>
      <c r="BI73" s="150">
        <v>0</v>
      </c>
      <c r="BJ73" s="150">
        <f t="shared" ref="BJ73" si="141">IF(OR(BK73=1),1,0)</f>
        <v>0</v>
      </c>
      <c r="BK73" s="150">
        <v>0</v>
      </c>
      <c r="BL73" s="152">
        <v>1</v>
      </c>
      <c r="BM73" s="153" t="s">
        <v>1603</v>
      </c>
      <c r="BN73" s="153">
        <v>1</v>
      </c>
      <c r="BO73" s="153">
        <v>0</v>
      </c>
      <c r="BP73" s="162" t="s">
        <v>1553</v>
      </c>
    </row>
    <row r="74" spans="1:68" x14ac:dyDescent="0.2">
      <c r="A74" s="146" t="s">
        <v>1466</v>
      </c>
      <c r="B74" s="147" t="str">
        <f>Elevage!L73</f>
        <v>SALAZIE</v>
      </c>
      <c r="C74" s="163">
        <f>Elevage!B73</f>
        <v>46154</v>
      </c>
      <c r="D74" s="147">
        <v>0</v>
      </c>
      <c r="E74" s="148">
        <v>0</v>
      </c>
      <c r="F74" s="148">
        <v>24</v>
      </c>
      <c r="G74" s="149">
        <v>2</v>
      </c>
      <c r="H74" s="150" t="s">
        <v>1513</v>
      </c>
      <c r="I74" s="150" t="s">
        <v>35</v>
      </c>
      <c r="J74" s="150">
        <v>300</v>
      </c>
      <c r="K74" s="150">
        <v>32</v>
      </c>
      <c r="L74" s="150">
        <v>1</v>
      </c>
      <c r="M74" s="150">
        <v>5</v>
      </c>
      <c r="N74" s="150">
        <v>1980</v>
      </c>
      <c r="O74" s="151">
        <f t="shared" si="125"/>
        <v>46</v>
      </c>
      <c r="P74" s="152">
        <v>0</v>
      </c>
      <c r="Q74" s="153" t="s">
        <v>1492</v>
      </c>
      <c r="R74" s="153">
        <v>1</v>
      </c>
      <c r="S74" s="153">
        <v>1</v>
      </c>
      <c r="T74" s="154" t="s">
        <v>1487</v>
      </c>
      <c r="U74" s="154">
        <v>0</v>
      </c>
      <c r="V74" s="154">
        <v>0</v>
      </c>
      <c r="W74" s="154">
        <v>0</v>
      </c>
      <c r="X74" s="154">
        <v>0</v>
      </c>
      <c r="Y74" s="154">
        <v>0</v>
      </c>
      <c r="Z74" s="154">
        <v>0</v>
      </c>
      <c r="AA74" s="154">
        <v>1</v>
      </c>
      <c r="AB74" s="154">
        <v>0</v>
      </c>
      <c r="AC74" s="155" t="s">
        <v>1495</v>
      </c>
      <c r="AD74" s="156" t="s">
        <v>1496</v>
      </c>
      <c r="AE74" s="156">
        <v>40</v>
      </c>
      <c r="AF74" s="157">
        <v>1</v>
      </c>
      <c r="AG74" s="158" t="s">
        <v>1604</v>
      </c>
      <c r="AH74" s="159" t="s">
        <v>1499</v>
      </c>
      <c r="AI74" s="160">
        <v>1</v>
      </c>
      <c r="AJ74" s="160">
        <v>1</v>
      </c>
      <c r="AK74" s="160">
        <v>0</v>
      </c>
      <c r="AL74" s="160">
        <v>0</v>
      </c>
      <c r="AM74" s="160">
        <v>0</v>
      </c>
      <c r="AN74" s="161">
        <v>0</v>
      </c>
      <c r="AO74" s="160">
        <v>0</v>
      </c>
      <c r="AP74" s="149" t="s">
        <v>1501</v>
      </c>
      <c r="AQ74" s="167" t="s">
        <v>1546</v>
      </c>
      <c r="AR74" s="150" t="s">
        <v>1503</v>
      </c>
      <c r="AS74" s="150">
        <f t="shared" si="126"/>
        <v>1</v>
      </c>
      <c r="AT74" s="150">
        <v>1</v>
      </c>
      <c r="AU74" s="150">
        <v>0</v>
      </c>
      <c r="AV74" s="150">
        <f t="shared" si="127"/>
        <v>1</v>
      </c>
      <c r="AW74" s="150">
        <v>1</v>
      </c>
      <c r="AX74" s="150">
        <v>0</v>
      </c>
      <c r="AY74" s="150">
        <f t="shared" si="128"/>
        <v>0</v>
      </c>
      <c r="AZ74" s="150">
        <v>0</v>
      </c>
      <c r="BA74" s="150">
        <v>1</v>
      </c>
      <c r="BB74" s="150">
        <v>0</v>
      </c>
      <c r="BC74" s="150">
        <f t="shared" si="130"/>
        <v>0</v>
      </c>
      <c r="BD74" s="150">
        <v>0</v>
      </c>
      <c r="BE74" s="150">
        <f t="shared" si="131"/>
        <v>1</v>
      </c>
      <c r="BF74" s="151">
        <v>0</v>
      </c>
      <c r="BG74" s="150">
        <v>1</v>
      </c>
      <c r="BH74" s="150">
        <f t="shared" ref="BH74" si="142">IF(OR(BI74=1),1,0)</f>
        <v>0</v>
      </c>
      <c r="BI74" s="150">
        <v>0</v>
      </c>
      <c r="BJ74" s="150">
        <f t="shared" ref="BJ74" si="143">IF(OR(BK74=1),1,0)</f>
        <v>0</v>
      </c>
      <c r="BK74" s="150">
        <v>0</v>
      </c>
      <c r="BL74" s="152">
        <v>1</v>
      </c>
      <c r="BM74" s="153" t="s">
        <v>1605</v>
      </c>
      <c r="BN74" s="153">
        <v>1</v>
      </c>
      <c r="BO74" s="153">
        <v>1</v>
      </c>
      <c r="BP74" s="162" t="s">
        <v>1512</v>
      </c>
    </row>
    <row r="75" spans="1:68" x14ac:dyDescent="0.2">
      <c r="A75" s="146" t="s">
        <v>1467</v>
      </c>
      <c r="B75" s="147" t="str">
        <f>Elevage!L74</f>
        <v>SALAZIE</v>
      </c>
      <c r="C75" s="163">
        <f>Elevage!B74</f>
        <v>46154</v>
      </c>
      <c r="D75" s="147">
        <v>0</v>
      </c>
      <c r="E75" s="148">
        <v>0</v>
      </c>
      <c r="F75" s="148">
        <v>18</v>
      </c>
      <c r="G75" s="149">
        <v>2</v>
      </c>
      <c r="H75" s="150" t="s">
        <v>1505</v>
      </c>
      <c r="I75" s="150" t="s">
        <v>35</v>
      </c>
      <c r="J75" s="150">
        <v>600</v>
      </c>
      <c r="K75" s="150">
        <v>50</v>
      </c>
      <c r="L75" s="150">
        <v>3</v>
      </c>
      <c r="M75" s="150">
        <v>5</v>
      </c>
      <c r="N75" s="150">
        <v>1990</v>
      </c>
      <c r="O75" s="151">
        <f t="shared" si="125"/>
        <v>36</v>
      </c>
      <c r="P75" s="152">
        <v>0</v>
      </c>
      <c r="Q75" s="153" t="s">
        <v>1492</v>
      </c>
      <c r="R75" s="153">
        <v>0</v>
      </c>
      <c r="S75" s="153">
        <v>1</v>
      </c>
      <c r="T75" s="154" t="s">
        <v>1487</v>
      </c>
      <c r="U75" s="154">
        <v>0</v>
      </c>
      <c r="V75" s="154">
        <v>0</v>
      </c>
      <c r="W75" s="154">
        <v>0</v>
      </c>
      <c r="X75" s="154">
        <v>0</v>
      </c>
      <c r="Y75" s="154">
        <v>0</v>
      </c>
      <c r="Z75" s="154">
        <v>0</v>
      </c>
      <c r="AA75" s="154">
        <v>1</v>
      </c>
      <c r="AB75" s="154">
        <v>0</v>
      </c>
      <c r="AC75" s="155" t="s">
        <v>1496</v>
      </c>
      <c r="AD75" s="156" t="s">
        <v>1496</v>
      </c>
      <c r="AF75" s="157">
        <v>0</v>
      </c>
      <c r="AG75" s="158" t="s">
        <v>1492</v>
      </c>
      <c r="AH75" s="159" t="s">
        <v>1499</v>
      </c>
      <c r="AI75" s="160">
        <v>1</v>
      </c>
      <c r="AJ75" s="160">
        <v>1</v>
      </c>
      <c r="AK75" s="160">
        <v>0</v>
      </c>
      <c r="AL75" s="160">
        <v>0</v>
      </c>
      <c r="AM75" s="160">
        <v>0</v>
      </c>
      <c r="AN75" s="161">
        <v>0</v>
      </c>
      <c r="AO75" s="160">
        <v>1</v>
      </c>
      <c r="AP75" s="149" t="s">
        <v>1568</v>
      </c>
      <c r="AQ75" s="167" t="s">
        <v>1544</v>
      </c>
      <c r="AR75" s="150" t="s">
        <v>1503</v>
      </c>
      <c r="AS75" s="150">
        <f t="shared" si="126"/>
        <v>1</v>
      </c>
      <c r="AT75" s="150">
        <v>1</v>
      </c>
      <c r="AU75" s="150">
        <v>0</v>
      </c>
      <c r="AV75" s="150">
        <f t="shared" si="127"/>
        <v>1</v>
      </c>
      <c r="AW75" s="150">
        <v>0</v>
      </c>
      <c r="AX75" s="150">
        <v>1</v>
      </c>
      <c r="AY75" s="150">
        <f t="shared" si="128"/>
        <v>1</v>
      </c>
      <c r="AZ75" s="150">
        <v>1</v>
      </c>
      <c r="BA75" s="150">
        <f t="shared" si="129"/>
        <v>0</v>
      </c>
      <c r="BB75" s="150">
        <v>0</v>
      </c>
      <c r="BC75" s="150">
        <f t="shared" si="130"/>
        <v>0</v>
      </c>
      <c r="BD75" s="150">
        <v>0</v>
      </c>
      <c r="BE75" s="150">
        <f t="shared" si="131"/>
        <v>0</v>
      </c>
      <c r="BF75" s="151">
        <v>0</v>
      </c>
      <c r="BG75" s="150">
        <v>0</v>
      </c>
      <c r="BH75" s="150">
        <f t="shared" ref="BH75" si="144">IF(OR(BI75=1),1,0)</f>
        <v>0</v>
      </c>
      <c r="BI75" s="150">
        <v>0</v>
      </c>
      <c r="BJ75" s="150">
        <f t="shared" ref="BJ75" si="145">IF(OR(BK75=1),1,0)</f>
        <v>0</v>
      </c>
      <c r="BK75" s="150">
        <v>0</v>
      </c>
      <c r="BL75" s="152">
        <v>1</v>
      </c>
      <c r="BM75" s="153" t="s">
        <v>1606</v>
      </c>
      <c r="BN75" s="153">
        <v>0</v>
      </c>
      <c r="BO75" s="153">
        <v>0</v>
      </c>
      <c r="BP75" s="162" t="s">
        <v>1530</v>
      </c>
    </row>
    <row r="76" spans="1:68" x14ac:dyDescent="0.2">
      <c r="A76" s="146" t="s">
        <v>1468</v>
      </c>
      <c r="B76" s="147" t="str">
        <f>Elevage!L75</f>
        <v>SALAZIE</v>
      </c>
      <c r="C76" s="163">
        <f>Elevage!B75</f>
        <v>46154</v>
      </c>
      <c r="D76" s="147">
        <v>0</v>
      </c>
      <c r="E76" s="148">
        <v>0</v>
      </c>
      <c r="F76" s="148">
        <v>24</v>
      </c>
      <c r="G76" s="149">
        <v>2</v>
      </c>
      <c r="H76" s="150" t="s">
        <v>1513</v>
      </c>
      <c r="I76" s="150" t="s">
        <v>35</v>
      </c>
      <c r="J76" s="150">
        <v>350</v>
      </c>
      <c r="K76" s="150">
        <v>32</v>
      </c>
      <c r="L76" s="150">
        <v>2</v>
      </c>
      <c r="M76" s="150">
        <v>6</v>
      </c>
      <c r="N76" s="150">
        <v>1990</v>
      </c>
      <c r="O76" s="151">
        <f t="shared" si="125"/>
        <v>36</v>
      </c>
      <c r="P76" s="152">
        <v>0</v>
      </c>
      <c r="Q76" s="153" t="s">
        <v>1492</v>
      </c>
      <c r="R76" s="153">
        <v>1</v>
      </c>
      <c r="S76" s="153">
        <v>1</v>
      </c>
      <c r="T76" s="154" t="s">
        <v>1487</v>
      </c>
      <c r="U76" s="154">
        <v>0</v>
      </c>
      <c r="V76" s="154">
        <v>1</v>
      </c>
      <c r="W76" s="154">
        <v>1</v>
      </c>
      <c r="X76" s="154">
        <v>1</v>
      </c>
      <c r="Y76" s="154">
        <v>1</v>
      </c>
      <c r="Z76" s="154">
        <v>0</v>
      </c>
      <c r="AA76" s="154">
        <v>0</v>
      </c>
      <c r="AB76" s="154">
        <v>0</v>
      </c>
      <c r="AC76" s="155" t="s">
        <v>1496</v>
      </c>
      <c r="AD76" s="156" t="s">
        <v>1496</v>
      </c>
      <c r="AE76" s="156">
        <v>40</v>
      </c>
      <c r="AF76" s="157">
        <v>1</v>
      </c>
      <c r="AG76" s="158" t="s">
        <v>1563</v>
      </c>
      <c r="AH76" s="159" t="s">
        <v>1499</v>
      </c>
      <c r="AI76" s="160">
        <v>0</v>
      </c>
      <c r="AJ76" s="160">
        <v>1</v>
      </c>
      <c r="AK76" s="160">
        <v>0</v>
      </c>
      <c r="AL76" s="160">
        <v>0</v>
      </c>
      <c r="AM76" s="160">
        <v>0</v>
      </c>
      <c r="AN76" s="161">
        <v>0</v>
      </c>
      <c r="AO76" s="160">
        <v>0</v>
      </c>
      <c r="AP76" s="149" t="s">
        <v>1501</v>
      </c>
      <c r="AQ76" s="167" t="s">
        <v>1546</v>
      </c>
      <c r="AR76" s="150" t="s">
        <v>1503</v>
      </c>
      <c r="AS76" s="150">
        <f t="shared" si="126"/>
        <v>1</v>
      </c>
      <c r="AT76" s="150">
        <v>1</v>
      </c>
      <c r="AU76" s="150">
        <v>0</v>
      </c>
      <c r="AV76" s="150">
        <f t="shared" si="127"/>
        <v>0</v>
      </c>
      <c r="AW76" s="150">
        <v>0</v>
      </c>
      <c r="AX76" s="150">
        <v>0</v>
      </c>
      <c r="AY76" s="150">
        <f t="shared" si="128"/>
        <v>0</v>
      </c>
      <c r="AZ76" s="150">
        <v>0</v>
      </c>
      <c r="BA76" s="150">
        <f t="shared" si="129"/>
        <v>0</v>
      </c>
      <c r="BB76" s="150">
        <v>0</v>
      </c>
      <c r="BC76" s="150">
        <f t="shared" si="130"/>
        <v>0</v>
      </c>
      <c r="BD76" s="150">
        <v>0</v>
      </c>
      <c r="BE76" s="150">
        <f t="shared" si="131"/>
        <v>1</v>
      </c>
      <c r="BF76" s="151">
        <v>1</v>
      </c>
      <c r="BG76" s="150">
        <v>1</v>
      </c>
      <c r="BH76" s="150">
        <f t="shared" ref="BH76" si="146">IF(OR(BI76=1),1,0)</f>
        <v>0</v>
      </c>
      <c r="BI76" s="150">
        <v>0</v>
      </c>
      <c r="BJ76" s="150">
        <f t="shared" ref="BJ76" si="147">IF(OR(BK76=1),1,0)</f>
        <v>0</v>
      </c>
      <c r="BK76" s="150">
        <v>0</v>
      </c>
      <c r="BL76" s="152">
        <v>1</v>
      </c>
      <c r="BM76" s="153" t="s">
        <v>1607</v>
      </c>
      <c r="BN76" s="153">
        <v>1</v>
      </c>
      <c r="BO76" s="153">
        <v>1</v>
      </c>
      <c r="BP76" s="162" t="s">
        <v>1553</v>
      </c>
    </row>
    <row r="77" spans="1:68" x14ac:dyDescent="0.2">
      <c r="A77" s="146" t="s">
        <v>1469</v>
      </c>
      <c r="B77" s="147" t="str">
        <f>Elevage!L76</f>
        <v>SALAZIE</v>
      </c>
      <c r="C77" s="163">
        <f>Elevage!B76</f>
        <v>46155</v>
      </c>
      <c r="D77" s="147">
        <v>0</v>
      </c>
      <c r="E77" s="148">
        <v>0</v>
      </c>
      <c r="F77" s="148">
        <v>25</v>
      </c>
      <c r="G77" s="149">
        <v>2</v>
      </c>
      <c r="H77" s="150" t="s">
        <v>1513</v>
      </c>
      <c r="I77" s="150" t="s">
        <v>35</v>
      </c>
      <c r="J77" s="150">
        <v>550</v>
      </c>
      <c r="K77" s="150">
        <v>38</v>
      </c>
      <c r="L77" s="150">
        <v>1</v>
      </c>
      <c r="M77" s="150">
        <v>6</v>
      </c>
      <c r="N77" s="150">
        <v>1980</v>
      </c>
      <c r="O77" s="151">
        <f t="shared" si="125"/>
        <v>46</v>
      </c>
      <c r="P77" s="152">
        <v>0</v>
      </c>
      <c r="Q77" s="153" t="s">
        <v>1492</v>
      </c>
      <c r="R77" s="153">
        <v>1</v>
      </c>
      <c r="S77" s="153">
        <v>1</v>
      </c>
      <c r="T77" s="154" t="s">
        <v>1487</v>
      </c>
      <c r="U77" s="154">
        <v>0</v>
      </c>
      <c r="V77" s="154">
        <v>0</v>
      </c>
      <c r="W77" s="154">
        <v>1</v>
      </c>
      <c r="X77" s="154">
        <v>1</v>
      </c>
      <c r="Y77" s="154">
        <v>0</v>
      </c>
      <c r="Z77" s="154">
        <v>0</v>
      </c>
      <c r="AA77" s="154">
        <v>1</v>
      </c>
      <c r="AB77" s="154">
        <v>0</v>
      </c>
      <c r="AC77" s="155" t="s">
        <v>1514</v>
      </c>
      <c r="AD77" s="156" t="s">
        <v>1495</v>
      </c>
      <c r="AE77" s="156">
        <v>30</v>
      </c>
      <c r="AF77" s="157">
        <v>1</v>
      </c>
      <c r="AG77" s="158" t="s">
        <v>1604</v>
      </c>
      <c r="AH77" s="159" t="s">
        <v>1499</v>
      </c>
      <c r="AI77" s="160">
        <v>1</v>
      </c>
      <c r="AJ77" s="160">
        <v>0</v>
      </c>
      <c r="AK77" s="160">
        <v>0</v>
      </c>
      <c r="AL77" s="160">
        <v>1</v>
      </c>
      <c r="AM77" s="160">
        <v>0</v>
      </c>
      <c r="AN77" s="161">
        <v>0</v>
      </c>
      <c r="AO77" s="160">
        <v>1</v>
      </c>
      <c r="AP77" s="149" t="s">
        <v>1501</v>
      </c>
      <c r="AQ77" s="167" t="s">
        <v>1545</v>
      </c>
      <c r="AR77" s="150" t="s">
        <v>1503</v>
      </c>
      <c r="AS77" s="150">
        <f t="shared" si="126"/>
        <v>1</v>
      </c>
      <c r="AT77" s="150">
        <v>1</v>
      </c>
      <c r="AU77" s="150">
        <v>0</v>
      </c>
      <c r="AV77" s="150">
        <f t="shared" si="127"/>
        <v>1</v>
      </c>
      <c r="AW77" s="150">
        <v>1</v>
      </c>
      <c r="AX77" s="150">
        <v>1</v>
      </c>
      <c r="AY77" s="150">
        <f t="shared" si="128"/>
        <v>0</v>
      </c>
      <c r="AZ77" s="150">
        <v>0</v>
      </c>
      <c r="BA77" s="150">
        <f t="shared" si="129"/>
        <v>0</v>
      </c>
      <c r="BB77" s="150">
        <v>0</v>
      </c>
      <c r="BC77" s="150">
        <f t="shared" si="130"/>
        <v>0</v>
      </c>
      <c r="BD77" s="150">
        <v>0</v>
      </c>
      <c r="BE77" s="150">
        <f t="shared" si="131"/>
        <v>0</v>
      </c>
      <c r="BF77" s="151">
        <v>0</v>
      </c>
      <c r="BG77" s="150">
        <v>0</v>
      </c>
      <c r="BH77" s="150">
        <f t="shared" ref="BH77" si="148">IF(OR(BI77=1),1,0)</f>
        <v>0</v>
      </c>
      <c r="BI77" s="150">
        <v>0</v>
      </c>
      <c r="BJ77" s="150">
        <f t="shared" ref="BJ77" si="149">IF(OR(BK77=1),1,0)</f>
        <v>0</v>
      </c>
      <c r="BK77" s="150">
        <v>0</v>
      </c>
      <c r="BL77" s="152">
        <v>1</v>
      </c>
      <c r="BM77" s="153" t="s">
        <v>1608</v>
      </c>
      <c r="BN77" s="153">
        <v>1</v>
      </c>
      <c r="BO77" s="153">
        <v>1</v>
      </c>
      <c r="BP77" s="162" t="s">
        <v>1526</v>
      </c>
    </row>
    <row r="78" spans="1:68" x14ac:dyDescent="0.2">
      <c r="A78" s="146" t="s">
        <v>1470</v>
      </c>
      <c r="B78" s="147" t="str">
        <f>Elevage!L77</f>
        <v>SALAZIE</v>
      </c>
      <c r="C78" s="163">
        <f>Elevage!B77</f>
        <v>46155</v>
      </c>
      <c r="D78" s="147">
        <v>0</v>
      </c>
      <c r="E78" s="148">
        <v>0</v>
      </c>
      <c r="F78" s="148">
        <v>24</v>
      </c>
      <c r="G78" s="149">
        <v>3</v>
      </c>
      <c r="H78" s="150" t="s">
        <v>1513</v>
      </c>
      <c r="I78" s="150" t="s">
        <v>35</v>
      </c>
      <c r="J78" s="150">
        <v>300</v>
      </c>
      <c r="K78" s="150">
        <v>38</v>
      </c>
      <c r="L78" s="150">
        <v>1</v>
      </c>
      <c r="M78" s="150">
        <v>7</v>
      </c>
      <c r="N78" s="150">
        <v>1980</v>
      </c>
      <c r="O78" s="151">
        <f t="shared" si="125"/>
        <v>46</v>
      </c>
      <c r="P78" s="152">
        <v>1</v>
      </c>
      <c r="Q78" s="153" t="s">
        <v>1609</v>
      </c>
      <c r="R78" s="153">
        <v>1</v>
      </c>
      <c r="S78" s="153">
        <v>0</v>
      </c>
      <c r="T78" s="154" t="s">
        <v>1492</v>
      </c>
      <c r="U78" s="154">
        <v>0</v>
      </c>
      <c r="V78" s="154">
        <v>0</v>
      </c>
      <c r="W78" s="154">
        <v>0</v>
      </c>
      <c r="X78" s="154">
        <v>1</v>
      </c>
      <c r="Y78" s="154">
        <v>0</v>
      </c>
      <c r="Z78" s="154">
        <v>0</v>
      </c>
      <c r="AA78" s="154">
        <v>1</v>
      </c>
      <c r="AB78" s="154">
        <v>0</v>
      </c>
      <c r="AC78" s="155" t="s">
        <v>1495</v>
      </c>
      <c r="AD78" s="156" t="s">
        <v>1496</v>
      </c>
      <c r="AE78" s="156">
        <v>40</v>
      </c>
      <c r="AF78" s="157">
        <v>1</v>
      </c>
      <c r="AG78" s="158" t="s">
        <v>1604</v>
      </c>
      <c r="AH78" s="159" t="s">
        <v>1499</v>
      </c>
      <c r="AI78" s="160">
        <v>1</v>
      </c>
      <c r="AJ78" s="160">
        <v>1</v>
      </c>
      <c r="AK78" s="160">
        <v>0</v>
      </c>
      <c r="AL78" s="160">
        <v>0</v>
      </c>
      <c r="AM78" s="160">
        <v>0</v>
      </c>
      <c r="AN78" s="161">
        <v>0</v>
      </c>
      <c r="AO78" s="160">
        <v>1</v>
      </c>
      <c r="AP78" s="149" t="s">
        <v>1501</v>
      </c>
      <c r="AQ78" s="167" t="s">
        <v>1546</v>
      </c>
      <c r="AR78" s="150" t="s">
        <v>1503</v>
      </c>
      <c r="AS78" s="150">
        <f t="shared" si="126"/>
        <v>1</v>
      </c>
      <c r="AT78" s="150">
        <v>1</v>
      </c>
      <c r="AU78" s="150">
        <v>0</v>
      </c>
      <c r="AV78" s="150">
        <f t="shared" si="127"/>
        <v>0</v>
      </c>
      <c r="AW78" s="150">
        <v>0</v>
      </c>
      <c r="AX78" s="150">
        <v>0</v>
      </c>
      <c r="AY78" s="150">
        <f t="shared" si="128"/>
        <v>1</v>
      </c>
      <c r="AZ78" s="150">
        <v>1</v>
      </c>
      <c r="BA78" s="150">
        <f t="shared" si="129"/>
        <v>0</v>
      </c>
      <c r="BB78" s="150">
        <v>0</v>
      </c>
      <c r="BC78" s="150">
        <f t="shared" si="130"/>
        <v>0</v>
      </c>
      <c r="BD78" s="150">
        <v>0</v>
      </c>
      <c r="BE78" s="150">
        <f t="shared" si="131"/>
        <v>0</v>
      </c>
      <c r="BF78" s="151">
        <v>0</v>
      </c>
      <c r="BG78" s="150">
        <v>0</v>
      </c>
      <c r="BH78" s="150">
        <f t="shared" ref="BH78" si="150">IF(OR(BI78=1),1,0)</f>
        <v>0</v>
      </c>
      <c r="BI78" s="150">
        <v>0</v>
      </c>
      <c r="BJ78" s="150">
        <f t="shared" ref="BJ78" si="151">IF(OR(BK78=1),1,0)</f>
        <v>0</v>
      </c>
      <c r="BK78" s="150">
        <v>0</v>
      </c>
      <c r="BL78" s="152">
        <v>1</v>
      </c>
      <c r="BM78" s="153" t="s">
        <v>1610</v>
      </c>
      <c r="BN78" s="153">
        <v>1</v>
      </c>
      <c r="BO78" s="153">
        <v>0</v>
      </c>
      <c r="BP78" s="162" t="s">
        <v>1530</v>
      </c>
    </row>
    <row r="79" spans="1:68" x14ac:dyDescent="0.2">
      <c r="A79" s="146" t="s">
        <v>1471</v>
      </c>
      <c r="B79" s="147" t="str">
        <f>Elevage!L78</f>
        <v>SALAZIE</v>
      </c>
      <c r="C79" s="163">
        <f>Elevage!B78</f>
        <v>46155</v>
      </c>
      <c r="D79" s="147">
        <v>0</v>
      </c>
      <c r="E79" s="148">
        <v>0</v>
      </c>
      <c r="F79" s="148">
        <v>37</v>
      </c>
      <c r="G79" s="149">
        <v>1</v>
      </c>
      <c r="H79" s="150" t="s">
        <v>1513</v>
      </c>
      <c r="I79" s="150" t="s">
        <v>35</v>
      </c>
      <c r="J79" s="150">
        <v>450</v>
      </c>
      <c r="K79" s="150">
        <v>42</v>
      </c>
      <c r="L79" s="150">
        <v>3</v>
      </c>
      <c r="M79" s="150">
        <v>7</v>
      </c>
      <c r="N79" s="150">
        <v>1990</v>
      </c>
      <c r="O79" s="151">
        <f t="shared" si="125"/>
        <v>36</v>
      </c>
      <c r="P79" s="152">
        <v>0</v>
      </c>
      <c r="Q79" s="153" t="s">
        <v>1492</v>
      </c>
      <c r="R79" s="153">
        <v>1</v>
      </c>
      <c r="S79" s="153">
        <v>1</v>
      </c>
      <c r="T79" s="154" t="s">
        <v>1487</v>
      </c>
      <c r="U79" s="154">
        <v>0</v>
      </c>
      <c r="V79" s="154">
        <v>0</v>
      </c>
      <c r="W79" s="154">
        <v>0</v>
      </c>
      <c r="X79" s="154">
        <v>0</v>
      </c>
      <c r="Y79" s="154">
        <v>0</v>
      </c>
      <c r="Z79" s="154">
        <v>0</v>
      </c>
      <c r="AA79" s="154">
        <v>1</v>
      </c>
      <c r="AB79" s="154">
        <v>0</v>
      </c>
      <c r="AC79" s="155" t="s">
        <v>1514</v>
      </c>
      <c r="AD79" s="156" t="s">
        <v>1496</v>
      </c>
      <c r="AF79" s="157">
        <v>0</v>
      </c>
      <c r="AG79" s="158" t="s">
        <v>1492</v>
      </c>
      <c r="AH79" s="159" t="s">
        <v>1499</v>
      </c>
      <c r="AI79" s="160">
        <v>0</v>
      </c>
      <c r="AJ79" s="160">
        <v>0</v>
      </c>
      <c r="AK79" s="160">
        <v>1</v>
      </c>
      <c r="AL79" s="160">
        <v>1</v>
      </c>
      <c r="AM79" s="160">
        <v>0</v>
      </c>
      <c r="AN79" s="161">
        <v>0</v>
      </c>
      <c r="AO79" s="160">
        <v>0</v>
      </c>
      <c r="AP79" s="149" t="s">
        <v>1501</v>
      </c>
      <c r="AQ79" s="167" t="s">
        <v>1545</v>
      </c>
      <c r="AR79" s="150" t="s">
        <v>1503</v>
      </c>
      <c r="AS79" s="150">
        <f t="shared" si="126"/>
        <v>1</v>
      </c>
      <c r="AT79" s="150">
        <v>1</v>
      </c>
      <c r="AU79" s="150">
        <v>0</v>
      </c>
      <c r="AV79" s="150">
        <f t="shared" si="127"/>
        <v>0</v>
      </c>
      <c r="AW79" s="150">
        <v>0</v>
      </c>
      <c r="AX79" s="150">
        <v>0</v>
      </c>
      <c r="AY79" s="150">
        <f t="shared" si="128"/>
        <v>0</v>
      </c>
      <c r="AZ79" s="150">
        <v>0</v>
      </c>
      <c r="BA79" s="150">
        <f t="shared" si="129"/>
        <v>0</v>
      </c>
      <c r="BB79" s="150">
        <v>0</v>
      </c>
      <c r="BC79" s="150">
        <f t="shared" si="130"/>
        <v>0</v>
      </c>
      <c r="BD79" s="150">
        <v>0</v>
      </c>
      <c r="BE79" s="150">
        <f t="shared" si="131"/>
        <v>0</v>
      </c>
      <c r="BF79" s="151">
        <v>0</v>
      </c>
      <c r="BG79" s="150">
        <v>0</v>
      </c>
      <c r="BH79" s="150">
        <f t="shared" ref="BH79" si="152">IF(OR(BI79=1),1,0)</f>
        <v>0</v>
      </c>
      <c r="BI79" s="150">
        <v>0</v>
      </c>
      <c r="BJ79" s="150">
        <f t="shared" ref="BJ79" si="153">IF(OR(BK79=1),1,0)</f>
        <v>0</v>
      </c>
      <c r="BK79" s="150">
        <v>0</v>
      </c>
      <c r="BL79" s="152">
        <v>1</v>
      </c>
      <c r="BM79" s="153" t="s">
        <v>1611</v>
      </c>
      <c r="BN79" s="153">
        <v>1</v>
      </c>
      <c r="BO79" s="153">
        <v>1</v>
      </c>
      <c r="BP79" s="162" t="s">
        <v>1553</v>
      </c>
    </row>
    <row r="80" spans="1:68" x14ac:dyDescent="0.2">
      <c r="A80" s="146" t="s">
        <v>1472</v>
      </c>
      <c r="B80" s="147" t="str">
        <f>Elevage!L79</f>
        <v>LE TAMPON/PLAINE DES CAFRES</v>
      </c>
      <c r="C80" s="163">
        <f>Elevage!B79</f>
        <v>46141</v>
      </c>
      <c r="D80" s="147">
        <v>0</v>
      </c>
      <c r="E80" s="148">
        <v>0</v>
      </c>
      <c r="G80" s="149">
        <v>1</v>
      </c>
      <c r="H80" s="150" t="s">
        <v>1493</v>
      </c>
      <c r="I80" s="150" t="s">
        <v>1612</v>
      </c>
      <c r="J80" s="150">
        <v>600</v>
      </c>
      <c r="K80" s="150">
        <v>52</v>
      </c>
      <c r="N80" s="150">
        <v>1999</v>
      </c>
      <c r="O80" s="151">
        <f t="shared" si="125"/>
        <v>27</v>
      </c>
      <c r="P80" s="152">
        <v>0</v>
      </c>
      <c r="Q80" s="153" t="s">
        <v>1492</v>
      </c>
      <c r="R80" s="153">
        <v>1</v>
      </c>
      <c r="S80" s="153">
        <v>0</v>
      </c>
      <c r="U80" s="154">
        <v>1</v>
      </c>
      <c r="V80" s="154">
        <v>0</v>
      </c>
      <c r="W80" s="154">
        <v>1</v>
      </c>
      <c r="X80" s="154">
        <v>0</v>
      </c>
      <c r="Y80" s="154">
        <v>0</v>
      </c>
      <c r="Z80" s="154">
        <v>0</v>
      </c>
      <c r="AA80" s="154">
        <v>0</v>
      </c>
      <c r="AB80" s="154">
        <v>0</v>
      </c>
      <c r="AC80" s="155" t="s">
        <v>1495</v>
      </c>
      <c r="AD80" s="156" t="s">
        <v>1496</v>
      </c>
      <c r="AE80" s="156">
        <v>42</v>
      </c>
      <c r="AF80" s="157">
        <v>1</v>
      </c>
      <c r="AG80" s="158" t="s">
        <v>1613</v>
      </c>
      <c r="AH80" s="159" t="s">
        <v>1543</v>
      </c>
      <c r="AI80" s="160">
        <v>0</v>
      </c>
      <c r="AJ80" s="160">
        <v>1</v>
      </c>
      <c r="AK80" s="160">
        <v>0</v>
      </c>
      <c r="AL80" s="160">
        <v>1</v>
      </c>
      <c r="AM80" s="160">
        <v>0</v>
      </c>
      <c r="AN80" s="161">
        <v>0</v>
      </c>
      <c r="AO80" s="160">
        <v>0</v>
      </c>
      <c r="AQ80" s="167" t="s">
        <v>1546</v>
      </c>
      <c r="AR80" s="150" t="s">
        <v>1503</v>
      </c>
      <c r="AS80" s="150">
        <f t="shared" si="126"/>
        <v>1</v>
      </c>
      <c r="AT80" s="150">
        <v>1</v>
      </c>
      <c r="AU80" s="150">
        <v>0</v>
      </c>
      <c r="AV80" s="150">
        <f t="shared" si="127"/>
        <v>1</v>
      </c>
      <c r="AW80" s="150">
        <v>0</v>
      </c>
      <c r="AX80" s="150">
        <v>1</v>
      </c>
      <c r="AY80" s="150">
        <f t="shared" si="128"/>
        <v>0</v>
      </c>
      <c r="AZ80" s="150">
        <v>0</v>
      </c>
      <c r="BA80" s="150">
        <f t="shared" si="129"/>
        <v>0</v>
      </c>
      <c r="BB80" s="150">
        <v>0</v>
      </c>
      <c r="BC80" s="150">
        <f t="shared" si="130"/>
        <v>0</v>
      </c>
      <c r="BD80" s="150">
        <v>0</v>
      </c>
      <c r="BE80" s="150">
        <f t="shared" si="131"/>
        <v>0</v>
      </c>
      <c r="BF80" s="151">
        <v>0</v>
      </c>
      <c r="BG80" s="150">
        <v>0</v>
      </c>
      <c r="BH80" s="150">
        <f t="shared" ref="BH80" si="154">IF(OR(BI80=1),1,0)</f>
        <v>0</v>
      </c>
      <c r="BI80" s="150">
        <v>0</v>
      </c>
      <c r="BJ80" s="150">
        <f t="shared" ref="BJ80" si="155">IF(OR(BK80=1),1,0)</f>
        <v>0</v>
      </c>
      <c r="BK80" s="150">
        <v>0</v>
      </c>
      <c r="BL80" s="152">
        <v>1</v>
      </c>
      <c r="BM80" s="153" t="s">
        <v>1619</v>
      </c>
      <c r="BN80" s="153">
        <v>1</v>
      </c>
      <c r="BO80" s="153">
        <v>1</v>
      </c>
      <c r="BP80" s="162" t="s">
        <v>1553</v>
      </c>
    </row>
    <row r="81" spans="1:68" x14ac:dyDescent="0.2">
      <c r="A81" s="146" t="s">
        <v>1473</v>
      </c>
      <c r="B81" s="147" t="str">
        <f>Elevage!L81</f>
        <v>LE TAMPON/PLAINE DES CAFRES</v>
      </c>
      <c r="C81" s="163">
        <f>Elevage!B81</f>
        <v>46141</v>
      </c>
      <c r="D81" s="147">
        <v>0</v>
      </c>
      <c r="E81" s="148">
        <v>0</v>
      </c>
      <c r="G81" s="149">
        <v>1</v>
      </c>
      <c r="H81" s="150" t="s">
        <v>1513</v>
      </c>
      <c r="I81" s="150" t="s">
        <v>1612</v>
      </c>
      <c r="J81" s="150">
        <v>500</v>
      </c>
      <c r="K81" s="150">
        <v>53</v>
      </c>
      <c r="N81" s="150">
        <v>1995</v>
      </c>
      <c r="O81" s="151">
        <f t="shared" si="125"/>
        <v>31</v>
      </c>
      <c r="P81" s="152">
        <v>0</v>
      </c>
      <c r="Q81" s="153" t="s">
        <v>1492</v>
      </c>
      <c r="R81" s="153">
        <v>0</v>
      </c>
      <c r="S81" s="153">
        <v>1</v>
      </c>
      <c r="T81" s="154" t="s">
        <v>1516</v>
      </c>
      <c r="U81" s="154">
        <v>1</v>
      </c>
      <c r="V81" s="154">
        <v>0</v>
      </c>
      <c r="W81" s="154">
        <v>1</v>
      </c>
      <c r="X81" s="154">
        <v>0</v>
      </c>
      <c r="Y81" s="154">
        <v>0</v>
      </c>
      <c r="Z81" s="154">
        <v>0</v>
      </c>
      <c r="AA81" s="154">
        <v>0</v>
      </c>
      <c r="AB81" s="154">
        <v>0</v>
      </c>
      <c r="AC81" s="155" t="s">
        <v>1514</v>
      </c>
      <c r="AD81" s="156" t="s">
        <v>1496</v>
      </c>
      <c r="AE81" s="156">
        <v>42</v>
      </c>
      <c r="AF81" s="157">
        <v>1</v>
      </c>
      <c r="AG81" s="158" t="s">
        <v>1613</v>
      </c>
      <c r="AH81" s="159" t="s">
        <v>1543</v>
      </c>
      <c r="AI81" s="160">
        <v>0</v>
      </c>
      <c r="AJ81" s="160">
        <v>1</v>
      </c>
      <c r="AK81" s="160">
        <v>0</v>
      </c>
      <c r="AL81" s="160">
        <v>1</v>
      </c>
      <c r="AM81" s="160">
        <v>0</v>
      </c>
      <c r="AN81" s="161">
        <v>0</v>
      </c>
      <c r="AO81" s="160">
        <v>0</v>
      </c>
      <c r="AP81" s="149" t="s">
        <v>1513</v>
      </c>
      <c r="AQ81" s="167" t="s">
        <v>1546</v>
      </c>
      <c r="AR81" s="150" t="s">
        <v>1503</v>
      </c>
      <c r="AS81" s="150">
        <f t="shared" si="126"/>
        <v>1</v>
      </c>
      <c r="AT81" s="150">
        <v>1</v>
      </c>
      <c r="AU81" s="150">
        <v>0</v>
      </c>
      <c r="AV81" s="150">
        <f t="shared" si="127"/>
        <v>1</v>
      </c>
      <c r="AW81" s="150">
        <v>0</v>
      </c>
      <c r="AX81" s="150">
        <v>1</v>
      </c>
      <c r="AY81" s="150">
        <f t="shared" si="128"/>
        <v>0</v>
      </c>
      <c r="AZ81" s="150">
        <v>0</v>
      </c>
      <c r="BA81" s="150">
        <f t="shared" si="129"/>
        <v>0</v>
      </c>
      <c r="BB81" s="150">
        <v>0</v>
      </c>
      <c r="BC81" s="150">
        <f t="shared" si="130"/>
        <v>0</v>
      </c>
      <c r="BD81" s="150">
        <v>0</v>
      </c>
      <c r="BE81" s="150">
        <f t="shared" si="131"/>
        <v>1</v>
      </c>
      <c r="BF81" s="151">
        <v>0</v>
      </c>
      <c r="BG81" s="150">
        <v>1</v>
      </c>
      <c r="BH81" s="150">
        <f t="shared" ref="BH81" si="156">IF(OR(BI81=1),1,0)</f>
        <v>0</v>
      </c>
      <c r="BI81" s="150">
        <v>0</v>
      </c>
      <c r="BJ81" s="150">
        <f t="shared" ref="BJ81" si="157">IF(OR(BK81=1),1,0)</f>
        <v>0</v>
      </c>
      <c r="BK81" s="150">
        <v>0</v>
      </c>
      <c r="BL81" s="152">
        <v>1</v>
      </c>
      <c r="BM81" s="153" t="s">
        <v>1561</v>
      </c>
      <c r="BN81" s="153">
        <v>0</v>
      </c>
      <c r="BO81" s="153">
        <v>1</v>
      </c>
      <c r="BP81" s="162" t="s">
        <v>1553</v>
      </c>
    </row>
    <row r="82" spans="1:68" x14ac:dyDescent="0.2">
      <c r="A82" s="146" t="s">
        <v>1474</v>
      </c>
      <c r="B82" s="147" t="str">
        <f>Elevage!L82</f>
        <v>SAINT ANDRE / SAINT BENOIT</v>
      </c>
      <c r="C82" s="163">
        <f>Elevage!B82</f>
        <v>46148</v>
      </c>
      <c r="D82" s="147">
        <v>0</v>
      </c>
      <c r="E82" s="148">
        <v>0</v>
      </c>
      <c r="F82" s="148">
        <v>26</v>
      </c>
      <c r="G82" s="149">
        <v>3</v>
      </c>
      <c r="H82" s="150" t="s">
        <v>1513</v>
      </c>
      <c r="I82" s="150" t="s">
        <v>1612</v>
      </c>
      <c r="J82" s="150">
        <v>2000</v>
      </c>
      <c r="K82" s="150">
        <v>250</v>
      </c>
      <c r="M82" s="150">
        <v>21</v>
      </c>
      <c r="N82" s="150">
        <v>1990</v>
      </c>
      <c r="O82" s="151">
        <f t="shared" si="125"/>
        <v>36</v>
      </c>
      <c r="P82" s="152">
        <v>0</v>
      </c>
      <c r="Q82" s="153" t="s">
        <v>1615</v>
      </c>
      <c r="R82" s="153">
        <v>0</v>
      </c>
      <c r="S82" s="153">
        <v>1</v>
      </c>
      <c r="T82" s="154" t="s">
        <v>1485</v>
      </c>
      <c r="U82" s="154">
        <v>0</v>
      </c>
      <c r="V82" s="154">
        <v>0</v>
      </c>
      <c r="W82" s="154">
        <v>0</v>
      </c>
      <c r="X82" s="154">
        <v>0</v>
      </c>
      <c r="Y82" s="154">
        <v>0</v>
      </c>
      <c r="Z82" s="154">
        <v>0</v>
      </c>
      <c r="AA82" s="154">
        <v>0</v>
      </c>
      <c r="AB82" s="154">
        <v>0</v>
      </c>
      <c r="AC82" s="155" t="s">
        <v>1514</v>
      </c>
      <c r="AD82" s="156" t="s">
        <v>1496</v>
      </c>
      <c r="AE82" s="156">
        <v>42</v>
      </c>
      <c r="AF82" s="157">
        <v>1</v>
      </c>
      <c r="AG82" s="158" t="s">
        <v>1623</v>
      </c>
      <c r="AH82" s="159" t="s">
        <v>1508</v>
      </c>
      <c r="AI82" s="160">
        <v>1</v>
      </c>
      <c r="AJ82" s="160">
        <v>0</v>
      </c>
      <c r="AK82" s="160">
        <v>1</v>
      </c>
      <c r="AL82" s="160">
        <v>1</v>
      </c>
      <c r="AM82" s="160">
        <v>0</v>
      </c>
      <c r="AN82" s="161">
        <v>0</v>
      </c>
      <c r="AO82" s="160">
        <v>0</v>
      </c>
      <c r="AP82" s="149" t="s">
        <v>1513</v>
      </c>
      <c r="AQ82" s="167" t="s">
        <v>1546</v>
      </c>
      <c r="AR82" s="150" t="s">
        <v>1503</v>
      </c>
      <c r="AS82" s="150">
        <f t="shared" si="126"/>
        <v>1</v>
      </c>
      <c r="AT82" s="150">
        <v>1</v>
      </c>
      <c r="AU82" s="150">
        <v>0</v>
      </c>
      <c r="AV82" s="150">
        <f t="shared" si="127"/>
        <v>0</v>
      </c>
      <c r="AW82" s="150">
        <v>0</v>
      </c>
      <c r="AX82" s="150">
        <v>0</v>
      </c>
      <c r="AY82" s="150">
        <f t="shared" si="128"/>
        <v>1</v>
      </c>
      <c r="AZ82" s="150">
        <v>1</v>
      </c>
      <c r="BA82" s="150">
        <f t="shared" si="129"/>
        <v>0</v>
      </c>
      <c r="BB82" s="150">
        <v>0</v>
      </c>
      <c r="BC82" s="150">
        <f t="shared" si="130"/>
        <v>0</v>
      </c>
      <c r="BD82" s="150">
        <v>0</v>
      </c>
      <c r="BE82" s="150">
        <f t="shared" si="131"/>
        <v>0</v>
      </c>
      <c r="BF82" s="151">
        <v>0</v>
      </c>
      <c r="BG82" s="150">
        <v>0</v>
      </c>
      <c r="BH82" s="150">
        <f t="shared" ref="BH82" si="158">IF(OR(BI82=1),1,0)</f>
        <v>0</v>
      </c>
      <c r="BI82" s="150">
        <v>0</v>
      </c>
      <c r="BJ82" s="150">
        <f t="shared" ref="BJ82" si="159">IF(OR(BK82=1),1,0)</f>
        <v>0</v>
      </c>
      <c r="BK82" s="150">
        <v>0</v>
      </c>
      <c r="BL82" s="152">
        <v>1</v>
      </c>
      <c r="BM82" s="153" t="s">
        <v>1561</v>
      </c>
      <c r="BN82" s="153">
        <v>0</v>
      </c>
      <c r="BO82" s="153">
        <v>1</v>
      </c>
      <c r="BP82" s="162" t="s">
        <v>1553</v>
      </c>
    </row>
    <row r="83" spans="1:68" x14ac:dyDescent="0.2">
      <c r="A83" s="146" t="s">
        <v>1475</v>
      </c>
      <c r="B83" s="147" t="str">
        <f>Elevage!L83</f>
        <v>SAINT JOSEPH</v>
      </c>
      <c r="C83" s="163">
        <f>Elevage!B83</f>
        <v>46157</v>
      </c>
      <c r="D83" s="147">
        <v>1</v>
      </c>
      <c r="E83" s="148">
        <v>0</v>
      </c>
      <c r="G83" s="149">
        <v>2</v>
      </c>
      <c r="H83" s="150" t="s">
        <v>1493</v>
      </c>
      <c r="I83" s="150" t="s">
        <v>1612</v>
      </c>
      <c r="J83" s="150">
        <v>1500</v>
      </c>
      <c r="K83" s="150">
        <v>150</v>
      </c>
      <c r="M83" s="150">
        <v>5</v>
      </c>
      <c r="N83" s="150">
        <v>1995</v>
      </c>
      <c r="O83" s="151">
        <f t="shared" si="125"/>
        <v>31</v>
      </c>
      <c r="P83" s="152">
        <v>0</v>
      </c>
      <c r="Q83" s="153" t="s">
        <v>1492</v>
      </c>
      <c r="R83" s="153">
        <v>0</v>
      </c>
      <c r="S83" s="153">
        <v>1</v>
      </c>
      <c r="T83" s="154" t="s">
        <v>1485</v>
      </c>
      <c r="U83" s="154">
        <v>1</v>
      </c>
      <c r="V83" s="154">
        <v>0</v>
      </c>
      <c r="W83" s="154">
        <v>0</v>
      </c>
      <c r="X83" s="154">
        <v>1</v>
      </c>
      <c r="Y83" s="154">
        <v>0</v>
      </c>
      <c r="Z83" s="154">
        <v>0</v>
      </c>
      <c r="AA83" s="154">
        <v>0</v>
      </c>
      <c r="AB83" s="154">
        <v>0</v>
      </c>
      <c r="AC83" s="155" t="s">
        <v>1514</v>
      </c>
      <c r="AD83" s="156" t="s">
        <v>1496</v>
      </c>
      <c r="AF83" s="157">
        <v>0</v>
      </c>
      <c r="AG83" s="158" t="s">
        <v>1492</v>
      </c>
      <c r="AH83" s="159" t="s">
        <v>1543</v>
      </c>
      <c r="AI83" s="160">
        <v>1</v>
      </c>
      <c r="AJ83" s="160">
        <v>0</v>
      </c>
      <c r="AK83" s="160">
        <v>0</v>
      </c>
      <c r="AL83" s="160">
        <v>1</v>
      </c>
      <c r="AM83" s="160">
        <v>0</v>
      </c>
      <c r="AN83" s="161">
        <v>0</v>
      </c>
      <c r="AO83" s="160">
        <v>0</v>
      </c>
      <c r="AP83" s="149" t="s">
        <v>1513</v>
      </c>
      <c r="AQ83" s="167" t="s">
        <v>1546</v>
      </c>
      <c r="AR83" s="150" t="s">
        <v>1503</v>
      </c>
      <c r="AS83" s="150">
        <f t="shared" si="126"/>
        <v>1</v>
      </c>
      <c r="AT83" s="150">
        <v>1</v>
      </c>
      <c r="AU83" s="150">
        <v>0</v>
      </c>
      <c r="AV83" s="150">
        <f t="shared" si="127"/>
        <v>0</v>
      </c>
      <c r="AW83" s="150">
        <v>0</v>
      </c>
      <c r="AX83" s="150">
        <v>0</v>
      </c>
      <c r="AY83" s="150">
        <f t="shared" si="128"/>
        <v>0</v>
      </c>
      <c r="AZ83" s="150">
        <v>0</v>
      </c>
      <c r="BA83" s="150">
        <f t="shared" si="129"/>
        <v>0</v>
      </c>
      <c r="BB83" s="150">
        <v>0</v>
      </c>
      <c r="BC83" s="150">
        <f t="shared" si="130"/>
        <v>0</v>
      </c>
      <c r="BD83" s="150">
        <v>0</v>
      </c>
      <c r="BE83" s="150">
        <f t="shared" si="131"/>
        <v>0</v>
      </c>
      <c r="BF83" s="151">
        <v>0</v>
      </c>
      <c r="BG83" s="150">
        <v>0</v>
      </c>
      <c r="BH83" s="150">
        <f t="shared" ref="BH83" si="160">IF(OR(BI83=1),1,0)</f>
        <v>0</v>
      </c>
      <c r="BI83" s="150">
        <v>0</v>
      </c>
      <c r="BJ83" s="150">
        <f t="shared" ref="BJ83" si="161">IF(OR(BK83=1),1,0)</f>
        <v>0</v>
      </c>
      <c r="BK83" s="150">
        <v>0</v>
      </c>
      <c r="BL83" s="152">
        <v>1</v>
      </c>
      <c r="BM83" s="153" t="s">
        <v>1620</v>
      </c>
      <c r="BN83" s="153">
        <v>1</v>
      </c>
      <c r="BO83" s="153">
        <v>1</v>
      </c>
      <c r="BP83" s="162" t="s">
        <v>1621</v>
      </c>
    </row>
    <row r="84" spans="1:68" x14ac:dyDescent="0.2">
      <c r="A84" s="146" t="s">
        <v>1476</v>
      </c>
      <c r="B84" s="147" t="str">
        <f>Elevage!L84</f>
        <v>SAINT PIERRE / PETITE ILE</v>
      </c>
      <c r="C84" s="163">
        <f>Elevage!B84</f>
        <v>46147</v>
      </c>
      <c r="D84" s="147">
        <v>0</v>
      </c>
      <c r="E84" s="148">
        <v>0</v>
      </c>
      <c r="G84" s="149">
        <v>3</v>
      </c>
      <c r="H84" s="150" t="s">
        <v>1513</v>
      </c>
      <c r="I84" s="150" t="s">
        <v>1612</v>
      </c>
      <c r="J84" s="150">
        <v>550</v>
      </c>
      <c r="K84" s="150">
        <v>60</v>
      </c>
      <c r="M84" s="150">
        <v>4</v>
      </c>
      <c r="N84" s="150">
        <v>1992</v>
      </c>
      <c r="O84" s="151">
        <f t="shared" si="125"/>
        <v>34</v>
      </c>
      <c r="P84" s="152">
        <v>0</v>
      </c>
      <c r="Q84" s="153" t="s">
        <v>1492</v>
      </c>
      <c r="R84" s="153">
        <v>0</v>
      </c>
      <c r="S84" s="153">
        <v>1</v>
      </c>
      <c r="T84" s="154" t="s">
        <v>1516</v>
      </c>
      <c r="U84" s="154">
        <v>0</v>
      </c>
      <c r="V84" s="154">
        <v>0</v>
      </c>
      <c r="W84" s="154">
        <v>0</v>
      </c>
      <c r="X84" s="154">
        <v>0</v>
      </c>
      <c r="Y84" s="154">
        <v>0</v>
      </c>
      <c r="Z84" s="154">
        <v>0</v>
      </c>
      <c r="AA84" s="154">
        <v>0</v>
      </c>
      <c r="AB84" s="154">
        <v>1</v>
      </c>
      <c r="AC84" s="155" t="s">
        <v>1514</v>
      </c>
      <c r="AD84" s="156" t="s">
        <v>1496</v>
      </c>
      <c r="AE84" s="156">
        <v>42</v>
      </c>
      <c r="AF84" s="157">
        <v>1</v>
      </c>
      <c r="AG84" s="158" t="s">
        <v>1613</v>
      </c>
      <c r="AH84" s="159" t="s">
        <v>1543</v>
      </c>
      <c r="AI84" s="160">
        <v>1</v>
      </c>
      <c r="AJ84" s="160">
        <v>1</v>
      </c>
      <c r="AK84" s="160">
        <v>0</v>
      </c>
      <c r="AL84" s="160">
        <v>0</v>
      </c>
      <c r="AM84" s="160">
        <v>0</v>
      </c>
      <c r="AN84" s="161">
        <v>0</v>
      </c>
      <c r="AO84" s="160">
        <v>0</v>
      </c>
      <c r="AP84" s="149" t="s">
        <v>1513</v>
      </c>
      <c r="AQ84" s="167" t="s">
        <v>1545</v>
      </c>
      <c r="AR84" s="150" t="s">
        <v>1503</v>
      </c>
      <c r="AS84" s="150">
        <f t="shared" si="126"/>
        <v>0</v>
      </c>
      <c r="AT84" s="150">
        <v>0</v>
      </c>
      <c r="AU84" s="150">
        <v>0</v>
      </c>
      <c r="AV84" s="150">
        <f t="shared" si="127"/>
        <v>0</v>
      </c>
      <c r="AW84" s="150">
        <v>0</v>
      </c>
      <c r="AX84" s="150">
        <v>0</v>
      </c>
      <c r="AY84" s="150">
        <f t="shared" si="128"/>
        <v>0</v>
      </c>
      <c r="AZ84" s="150">
        <v>0</v>
      </c>
      <c r="BA84" s="150">
        <f t="shared" si="129"/>
        <v>0</v>
      </c>
      <c r="BB84" s="150">
        <v>0</v>
      </c>
      <c r="BC84" s="150">
        <f t="shared" si="130"/>
        <v>0</v>
      </c>
      <c r="BD84" s="150">
        <v>0</v>
      </c>
      <c r="BE84" s="150">
        <f t="shared" si="131"/>
        <v>1</v>
      </c>
      <c r="BF84" s="151">
        <v>0</v>
      </c>
      <c r="BG84" s="150">
        <v>1</v>
      </c>
      <c r="BH84" s="150">
        <f t="shared" ref="BH84" si="162">IF(OR(BI84=1),1,0)</f>
        <v>0</v>
      </c>
      <c r="BI84" s="150">
        <v>0</v>
      </c>
      <c r="BJ84" s="150">
        <f t="shared" ref="BJ84" si="163">IF(OR(BK84=1),1,0)</f>
        <v>0</v>
      </c>
      <c r="BK84" s="150">
        <v>0</v>
      </c>
      <c r="BL84" s="152">
        <v>1</v>
      </c>
      <c r="BM84" s="153" t="s">
        <v>1561</v>
      </c>
      <c r="BN84" s="153">
        <v>0</v>
      </c>
      <c r="BO84" s="153">
        <v>1</v>
      </c>
      <c r="BP84" s="162" t="s">
        <v>1553</v>
      </c>
    </row>
    <row r="85" spans="1:68" x14ac:dyDescent="0.2">
      <c r="A85" s="146" t="s">
        <v>1477</v>
      </c>
      <c r="B85" s="147" t="str">
        <f>Elevage!L85</f>
        <v>PLAINE DES PALMISTES/ SAINTE ANNE</v>
      </c>
      <c r="C85" s="163">
        <f>Elevage!B85</f>
        <v>46148</v>
      </c>
      <c r="D85" s="147">
        <v>0</v>
      </c>
      <c r="E85" s="148">
        <v>0</v>
      </c>
      <c r="G85" s="149">
        <v>2</v>
      </c>
      <c r="H85" s="150" t="s">
        <v>1513</v>
      </c>
      <c r="I85" s="150" t="s">
        <v>1612</v>
      </c>
      <c r="J85" s="150">
        <v>500</v>
      </c>
      <c r="N85" s="150">
        <v>1999</v>
      </c>
      <c r="O85" s="151">
        <f t="shared" si="125"/>
        <v>27</v>
      </c>
      <c r="P85" s="152">
        <v>0</v>
      </c>
      <c r="Q85" s="153" t="s">
        <v>1492</v>
      </c>
      <c r="R85" s="153">
        <v>0</v>
      </c>
      <c r="S85" s="153">
        <v>1</v>
      </c>
      <c r="T85" s="154" t="s">
        <v>1485</v>
      </c>
      <c r="U85" s="154">
        <v>0</v>
      </c>
      <c r="V85" s="154">
        <v>0</v>
      </c>
      <c r="W85" s="154">
        <v>0</v>
      </c>
      <c r="X85" s="154">
        <v>0</v>
      </c>
      <c r="Y85" s="154">
        <v>0</v>
      </c>
      <c r="Z85" s="154">
        <v>0</v>
      </c>
      <c r="AA85" s="154">
        <v>0</v>
      </c>
      <c r="AB85" s="154">
        <v>0</v>
      </c>
      <c r="AC85" s="155" t="s">
        <v>1495</v>
      </c>
      <c r="AD85" s="156" t="s">
        <v>1496</v>
      </c>
      <c r="AE85" s="156">
        <v>42</v>
      </c>
      <c r="AF85" s="157">
        <v>1</v>
      </c>
      <c r="AG85" s="158" t="s">
        <v>1613</v>
      </c>
      <c r="AH85" s="159" t="s">
        <v>1543</v>
      </c>
      <c r="AI85" s="160">
        <v>0</v>
      </c>
      <c r="AJ85" s="160">
        <v>0</v>
      </c>
      <c r="AK85" s="160">
        <v>0</v>
      </c>
      <c r="AL85" s="160">
        <v>1</v>
      </c>
      <c r="AM85" s="160">
        <v>0</v>
      </c>
      <c r="AN85" s="161">
        <v>0</v>
      </c>
      <c r="AO85" s="160">
        <v>0</v>
      </c>
      <c r="AP85" s="149" t="s">
        <v>1501</v>
      </c>
      <c r="AQ85" s="167" t="s">
        <v>1546</v>
      </c>
      <c r="AR85" s="150" t="s">
        <v>1503</v>
      </c>
      <c r="AS85" s="150">
        <f t="shared" si="126"/>
        <v>1</v>
      </c>
      <c r="AT85" s="150">
        <v>1</v>
      </c>
      <c r="AU85" s="150">
        <v>0</v>
      </c>
      <c r="AV85" s="150">
        <f t="shared" si="127"/>
        <v>0</v>
      </c>
      <c r="AW85" s="150">
        <v>0</v>
      </c>
      <c r="AX85" s="150">
        <v>0</v>
      </c>
      <c r="AY85" s="150">
        <f t="shared" si="128"/>
        <v>0</v>
      </c>
      <c r="AZ85" s="150">
        <v>0</v>
      </c>
      <c r="BA85" s="150">
        <f t="shared" si="129"/>
        <v>0</v>
      </c>
      <c r="BB85" s="150">
        <v>0</v>
      </c>
      <c r="BC85" s="150">
        <f t="shared" si="130"/>
        <v>0</v>
      </c>
      <c r="BD85" s="150">
        <v>0</v>
      </c>
      <c r="BE85" s="150">
        <f t="shared" si="131"/>
        <v>0</v>
      </c>
      <c r="BF85" s="151">
        <v>0</v>
      </c>
      <c r="BG85" s="150">
        <v>0</v>
      </c>
      <c r="BH85" s="150">
        <f t="shared" ref="BH85" si="164">IF(OR(BI85=1),1,0)</f>
        <v>0</v>
      </c>
      <c r="BI85" s="150">
        <v>0</v>
      </c>
      <c r="BJ85" s="150">
        <f t="shared" ref="BJ85" si="165">IF(OR(BK85=1),1,0)</f>
        <v>0</v>
      </c>
      <c r="BK85" s="150">
        <v>0</v>
      </c>
      <c r="BL85" s="152">
        <v>1</v>
      </c>
      <c r="BM85" s="153" t="s">
        <v>1617</v>
      </c>
      <c r="BN85" s="153">
        <v>1</v>
      </c>
      <c r="BO85" s="153">
        <v>1</v>
      </c>
      <c r="BP85" s="162" t="s">
        <v>1625</v>
      </c>
    </row>
    <row r="86" spans="1:68" x14ac:dyDescent="0.2">
      <c r="A86" s="146" t="s">
        <v>1478</v>
      </c>
      <c r="B86" s="147" t="str">
        <f>Elevage!L86</f>
        <v>SAINT JOSEPH</v>
      </c>
      <c r="C86" s="163">
        <f>Elevage!B86</f>
        <v>46147</v>
      </c>
      <c r="D86" s="147">
        <v>0</v>
      </c>
      <c r="E86" s="148">
        <v>0</v>
      </c>
      <c r="G86" s="149">
        <v>2</v>
      </c>
      <c r="H86" s="150" t="s">
        <v>1513</v>
      </c>
      <c r="I86" s="150" t="s">
        <v>1612</v>
      </c>
      <c r="J86" s="150">
        <v>650</v>
      </c>
      <c r="K86" s="150">
        <v>60</v>
      </c>
      <c r="M86" s="150">
        <v>7</v>
      </c>
      <c r="N86" s="150">
        <v>2000</v>
      </c>
      <c r="O86" s="151">
        <f t="shared" si="125"/>
        <v>26</v>
      </c>
      <c r="P86" s="152">
        <v>0</v>
      </c>
      <c r="Q86" s="153" t="s">
        <v>1492</v>
      </c>
      <c r="R86" s="153">
        <v>0</v>
      </c>
      <c r="S86" s="153">
        <v>0</v>
      </c>
      <c r="T86" s="154" t="s">
        <v>1492</v>
      </c>
      <c r="U86" s="154">
        <v>0</v>
      </c>
      <c r="V86" s="154">
        <v>0</v>
      </c>
      <c r="W86" s="154">
        <v>0</v>
      </c>
      <c r="X86" s="154">
        <v>0</v>
      </c>
      <c r="Y86" s="154">
        <v>0</v>
      </c>
      <c r="Z86" s="154">
        <v>0</v>
      </c>
      <c r="AA86" s="154">
        <v>0</v>
      </c>
      <c r="AB86" s="154">
        <v>0</v>
      </c>
      <c r="AC86" s="155" t="s">
        <v>1496</v>
      </c>
      <c r="AD86" s="156" t="s">
        <v>1496</v>
      </c>
      <c r="AE86" s="156">
        <v>42</v>
      </c>
      <c r="AF86" s="157">
        <v>0</v>
      </c>
      <c r="AG86" s="158" t="s">
        <v>1492</v>
      </c>
      <c r="AH86" s="159" t="s">
        <v>1543</v>
      </c>
      <c r="AI86" s="160">
        <v>1</v>
      </c>
      <c r="AJ86" s="160">
        <v>1</v>
      </c>
      <c r="AK86" s="160">
        <v>0</v>
      </c>
      <c r="AL86" s="160">
        <v>1</v>
      </c>
      <c r="AM86" s="160">
        <v>0</v>
      </c>
      <c r="AN86" s="161">
        <v>0</v>
      </c>
      <c r="AO86" s="160">
        <v>0</v>
      </c>
      <c r="AP86" s="149" t="s">
        <v>1513</v>
      </c>
      <c r="AQ86" s="167" t="s">
        <v>1546</v>
      </c>
      <c r="AR86" s="150" t="s">
        <v>1503</v>
      </c>
      <c r="AS86" s="150">
        <f t="shared" si="126"/>
        <v>1</v>
      </c>
      <c r="AT86" s="150">
        <v>1</v>
      </c>
      <c r="AU86" s="150">
        <v>0</v>
      </c>
      <c r="AV86" s="150">
        <f t="shared" si="127"/>
        <v>0</v>
      </c>
      <c r="AW86" s="150">
        <v>0</v>
      </c>
      <c r="AX86" s="150">
        <v>0</v>
      </c>
      <c r="AY86" s="150">
        <f t="shared" si="128"/>
        <v>0</v>
      </c>
      <c r="AZ86" s="150">
        <v>0</v>
      </c>
      <c r="BA86" s="150">
        <f t="shared" si="129"/>
        <v>0</v>
      </c>
      <c r="BB86" s="150">
        <v>0</v>
      </c>
      <c r="BC86" s="150">
        <f t="shared" si="130"/>
        <v>0</v>
      </c>
      <c r="BD86" s="150">
        <v>0</v>
      </c>
      <c r="BE86" s="150">
        <f t="shared" si="131"/>
        <v>1</v>
      </c>
      <c r="BF86" s="151">
        <v>1</v>
      </c>
      <c r="BG86" s="150">
        <v>1</v>
      </c>
      <c r="BH86" s="150">
        <f t="shared" ref="BH86" si="166">IF(OR(BI86=1),1,0)</f>
        <v>0</v>
      </c>
      <c r="BI86" s="150">
        <v>0</v>
      </c>
      <c r="BJ86" s="150">
        <f t="shared" ref="BJ86" si="167">IF(OR(BK86=1),1,0)</f>
        <v>0</v>
      </c>
      <c r="BK86" s="150">
        <v>0</v>
      </c>
      <c r="BL86" s="152">
        <v>1</v>
      </c>
      <c r="BM86" s="153" t="s">
        <v>1619</v>
      </c>
      <c r="BN86" s="153">
        <v>1</v>
      </c>
      <c r="BO86" s="153">
        <v>1</v>
      </c>
      <c r="BP86" s="162" t="s">
        <v>1553</v>
      </c>
    </row>
    <row r="87" spans="1:68" x14ac:dyDescent="0.2">
      <c r="A87" s="146" t="s">
        <v>1479</v>
      </c>
      <c r="B87" s="147" t="str">
        <f>Elevage!L87</f>
        <v>SAINT PIERRE / PETITE ILE</v>
      </c>
      <c r="C87" s="163">
        <f>Elevage!B87</f>
        <v>46169</v>
      </c>
      <c r="D87" s="147">
        <v>0</v>
      </c>
      <c r="E87" s="148">
        <v>0</v>
      </c>
      <c r="G87" s="149">
        <v>2</v>
      </c>
      <c r="H87" s="150" t="s">
        <v>1493</v>
      </c>
      <c r="I87" s="150" t="s">
        <v>1612</v>
      </c>
      <c r="J87" s="150">
        <v>500</v>
      </c>
      <c r="K87" s="150">
        <v>42</v>
      </c>
      <c r="M87" s="150">
        <v>6</v>
      </c>
      <c r="N87" s="150">
        <v>2017</v>
      </c>
      <c r="O87" s="151">
        <f t="shared" si="125"/>
        <v>9</v>
      </c>
      <c r="P87" s="152">
        <v>0</v>
      </c>
      <c r="Q87" s="153" t="s">
        <v>1492</v>
      </c>
      <c r="R87" s="153">
        <v>0</v>
      </c>
      <c r="S87" s="153">
        <v>0</v>
      </c>
      <c r="T87" s="154" t="s">
        <v>1492</v>
      </c>
      <c r="U87" s="154">
        <v>0</v>
      </c>
      <c r="V87" s="154">
        <v>0</v>
      </c>
      <c r="W87" s="154">
        <v>0</v>
      </c>
      <c r="X87" s="154">
        <v>0</v>
      </c>
      <c r="Y87" s="154">
        <v>0</v>
      </c>
      <c r="Z87" s="154">
        <v>0</v>
      </c>
      <c r="AA87" s="154">
        <v>0</v>
      </c>
      <c r="AB87" s="154">
        <v>0</v>
      </c>
      <c r="AC87" s="155" t="s">
        <v>1496</v>
      </c>
      <c r="AD87" s="156" t="s">
        <v>1496</v>
      </c>
      <c r="AE87" s="156">
        <v>42</v>
      </c>
      <c r="AF87" s="157">
        <v>1</v>
      </c>
      <c r="AG87" s="158" t="s">
        <v>1613</v>
      </c>
      <c r="AH87" s="159" t="s">
        <v>1543</v>
      </c>
      <c r="AI87" s="160">
        <v>0</v>
      </c>
      <c r="AJ87" s="160">
        <v>0</v>
      </c>
      <c r="AK87" s="160">
        <v>0</v>
      </c>
      <c r="AL87" s="160">
        <v>1</v>
      </c>
      <c r="AM87" s="160">
        <v>0</v>
      </c>
      <c r="AN87" s="161">
        <v>0</v>
      </c>
      <c r="AO87" s="160">
        <v>0</v>
      </c>
      <c r="AP87" s="149" t="s">
        <v>1501</v>
      </c>
      <c r="AQ87" s="167" t="s">
        <v>1545</v>
      </c>
      <c r="AR87" s="150" t="s">
        <v>1503</v>
      </c>
      <c r="AS87" s="150">
        <f t="shared" si="126"/>
        <v>1</v>
      </c>
      <c r="AT87" s="150">
        <v>1</v>
      </c>
      <c r="AU87" s="150">
        <v>0</v>
      </c>
      <c r="AV87" s="150">
        <f t="shared" si="127"/>
        <v>0</v>
      </c>
      <c r="AW87" s="150">
        <v>0</v>
      </c>
      <c r="AX87" s="150">
        <v>0</v>
      </c>
      <c r="AY87" s="150">
        <f t="shared" si="128"/>
        <v>0</v>
      </c>
      <c r="AZ87" s="150">
        <v>0</v>
      </c>
      <c r="BA87" s="150">
        <f t="shared" si="129"/>
        <v>0</v>
      </c>
      <c r="BB87" s="150">
        <v>0</v>
      </c>
      <c r="BC87" s="150">
        <f t="shared" si="130"/>
        <v>0</v>
      </c>
      <c r="BD87" s="150">
        <v>0</v>
      </c>
      <c r="BE87" s="150">
        <f t="shared" si="131"/>
        <v>0</v>
      </c>
      <c r="BF87" s="151">
        <v>0</v>
      </c>
      <c r="BG87" s="150">
        <v>0</v>
      </c>
      <c r="BH87" s="150">
        <f t="shared" ref="BH87" si="168">IF(OR(BI87=1),1,0)</f>
        <v>0</v>
      </c>
      <c r="BI87" s="150">
        <v>0</v>
      </c>
      <c r="BJ87" s="150">
        <f t="shared" ref="BJ87" si="169">IF(OR(BK87=1),1,0)</f>
        <v>0</v>
      </c>
      <c r="BK87" s="150">
        <v>0</v>
      </c>
      <c r="BL87" s="152">
        <v>1</v>
      </c>
      <c r="BM87" s="153" t="s">
        <v>1626</v>
      </c>
      <c r="BN87" s="153">
        <v>1</v>
      </c>
      <c r="BO87" s="153">
        <v>1</v>
      </c>
      <c r="BP87" s="162" t="s">
        <v>1621</v>
      </c>
    </row>
    <row r="88" spans="1:68" x14ac:dyDescent="0.2">
      <c r="A88" s="146" t="s">
        <v>1480</v>
      </c>
      <c r="B88" s="147" t="str">
        <f>Elevage!L88</f>
        <v>SAINT PIERRE / PETITE ILE</v>
      </c>
      <c r="C88" s="163">
        <f>Elevage!B88</f>
        <v>46169</v>
      </c>
      <c r="D88" s="147">
        <v>0</v>
      </c>
      <c r="E88" s="148">
        <v>0</v>
      </c>
      <c r="G88" s="149">
        <v>3</v>
      </c>
      <c r="H88" s="150" t="s">
        <v>1513</v>
      </c>
      <c r="I88" s="150" t="s">
        <v>1612</v>
      </c>
      <c r="J88" s="150">
        <v>750</v>
      </c>
      <c r="K88" s="150">
        <v>75</v>
      </c>
      <c r="M88" s="150">
        <v>7</v>
      </c>
      <c r="N88" s="150">
        <v>1995</v>
      </c>
      <c r="O88" s="151">
        <f t="shared" si="125"/>
        <v>31</v>
      </c>
      <c r="P88" s="152">
        <v>0</v>
      </c>
      <c r="Q88" s="153" t="s">
        <v>1492</v>
      </c>
      <c r="R88" s="153">
        <v>0</v>
      </c>
      <c r="S88" s="153">
        <v>0</v>
      </c>
      <c r="T88" s="154" t="s">
        <v>1492</v>
      </c>
      <c r="U88" s="154">
        <v>0</v>
      </c>
      <c r="V88" s="154">
        <v>0</v>
      </c>
      <c r="W88" s="154">
        <v>0</v>
      </c>
      <c r="X88" s="154">
        <v>0</v>
      </c>
      <c r="Y88" s="154">
        <v>0</v>
      </c>
      <c r="Z88" s="154">
        <v>0</v>
      </c>
      <c r="AA88" s="154">
        <v>0</v>
      </c>
      <c r="AB88" s="154">
        <v>0</v>
      </c>
      <c r="AC88" s="155" t="s">
        <v>1495</v>
      </c>
      <c r="AD88" s="156" t="s">
        <v>1496</v>
      </c>
      <c r="AE88" s="156">
        <v>42</v>
      </c>
      <c r="AF88" s="157">
        <v>1</v>
      </c>
      <c r="AG88" s="158" t="s">
        <v>1613</v>
      </c>
      <c r="AH88" s="159" t="s">
        <v>1543</v>
      </c>
      <c r="AI88" s="160">
        <v>1</v>
      </c>
      <c r="AJ88" s="160">
        <v>0</v>
      </c>
      <c r="AK88" s="160">
        <v>1</v>
      </c>
      <c r="AL88" s="160">
        <v>1</v>
      </c>
      <c r="AM88" s="160">
        <v>0</v>
      </c>
      <c r="AN88" s="161">
        <v>0</v>
      </c>
      <c r="AO88" s="160">
        <v>0</v>
      </c>
      <c r="AP88" s="149" t="s">
        <v>1513</v>
      </c>
      <c r="AQ88" s="167" t="s">
        <v>1545</v>
      </c>
      <c r="AR88" s="150" t="s">
        <v>1503</v>
      </c>
      <c r="AS88" s="150">
        <f t="shared" si="126"/>
        <v>1</v>
      </c>
      <c r="AT88" s="150">
        <v>1</v>
      </c>
      <c r="AU88" s="150">
        <v>1</v>
      </c>
      <c r="AV88" s="150">
        <f t="shared" si="127"/>
        <v>0</v>
      </c>
      <c r="AW88" s="150">
        <v>0</v>
      </c>
      <c r="AX88" s="150">
        <v>0</v>
      </c>
      <c r="AY88" s="150">
        <f t="shared" si="128"/>
        <v>0</v>
      </c>
      <c r="AZ88" s="150">
        <v>0</v>
      </c>
      <c r="BA88" s="150">
        <f t="shared" si="129"/>
        <v>0</v>
      </c>
      <c r="BB88" s="150">
        <v>0</v>
      </c>
      <c r="BC88" s="150">
        <f t="shared" si="130"/>
        <v>0</v>
      </c>
      <c r="BD88" s="150">
        <v>0</v>
      </c>
      <c r="BE88" s="150">
        <f t="shared" si="131"/>
        <v>0</v>
      </c>
      <c r="BF88" s="151">
        <v>0</v>
      </c>
      <c r="BG88" s="150">
        <v>0</v>
      </c>
      <c r="BH88" s="150">
        <f t="shared" ref="BH88" si="170">IF(OR(BI88=1),1,0)</f>
        <v>0</v>
      </c>
      <c r="BI88" s="150">
        <v>0</v>
      </c>
      <c r="BJ88" s="150">
        <f t="shared" ref="BJ88" si="171">IF(OR(BK88=1),1,0)</f>
        <v>0</v>
      </c>
      <c r="BK88" s="150">
        <v>0</v>
      </c>
      <c r="BL88" s="152">
        <v>1</v>
      </c>
      <c r="BM88" s="153" t="s">
        <v>1619</v>
      </c>
      <c r="BN88" s="153">
        <v>1</v>
      </c>
      <c r="BO88" s="153">
        <v>1</v>
      </c>
      <c r="BP88" s="162" t="s">
        <v>1553</v>
      </c>
    </row>
    <row r="89" spans="1:68" x14ac:dyDescent="0.2">
      <c r="A89" s="146" t="s">
        <v>1481</v>
      </c>
      <c r="B89" s="147" t="str">
        <f>Elevage!L89</f>
        <v>PLAINE DES PALMISTES/ SAINTE ANNE</v>
      </c>
      <c r="C89" s="163">
        <f>Elevage!B89</f>
        <v>46170</v>
      </c>
      <c r="D89" s="147">
        <v>0</v>
      </c>
      <c r="E89" s="148">
        <v>0</v>
      </c>
      <c r="G89" s="149">
        <v>2</v>
      </c>
      <c r="H89" s="150" t="s">
        <v>1493</v>
      </c>
      <c r="I89" s="150" t="s">
        <v>1612</v>
      </c>
      <c r="J89" s="150">
        <v>550</v>
      </c>
      <c r="K89" s="150">
        <v>42</v>
      </c>
      <c r="M89" s="150">
        <v>6</v>
      </c>
      <c r="N89" s="150">
        <v>2022</v>
      </c>
      <c r="O89" s="151">
        <f t="shared" si="125"/>
        <v>4</v>
      </c>
      <c r="P89" s="152">
        <v>0</v>
      </c>
      <c r="Q89" s="153" t="s">
        <v>1492</v>
      </c>
      <c r="R89" s="153">
        <v>0</v>
      </c>
      <c r="S89" s="153">
        <v>0</v>
      </c>
      <c r="T89" s="154" t="s">
        <v>1492</v>
      </c>
      <c r="U89" s="154">
        <v>0</v>
      </c>
      <c r="V89" s="154">
        <v>0</v>
      </c>
      <c r="W89" s="154">
        <v>0</v>
      </c>
      <c r="X89" s="154">
        <v>0</v>
      </c>
      <c r="Y89" s="154">
        <v>0</v>
      </c>
      <c r="Z89" s="154">
        <v>0</v>
      </c>
      <c r="AA89" s="154">
        <v>0</v>
      </c>
      <c r="AB89" s="154">
        <v>0</v>
      </c>
      <c r="AC89" s="155" t="s">
        <v>1496</v>
      </c>
      <c r="AD89" s="156" t="s">
        <v>1496</v>
      </c>
      <c r="AE89" s="156">
        <v>42</v>
      </c>
      <c r="AF89" s="157">
        <v>1</v>
      </c>
      <c r="AG89" s="158" t="s">
        <v>1627</v>
      </c>
      <c r="AH89" s="159" t="s">
        <v>1543</v>
      </c>
      <c r="AI89" s="160">
        <v>0</v>
      </c>
      <c r="AJ89" s="160">
        <v>0</v>
      </c>
      <c r="AK89" s="160">
        <v>0</v>
      </c>
      <c r="AL89" s="160">
        <v>1</v>
      </c>
      <c r="AM89" s="160">
        <v>0</v>
      </c>
      <c r="AN89" s="161">
        <v>0</v>
      </c>
      <c r="AO89" s="161">
        <v>0</v>
      </c>
      <c r="AP89" s="149" t="s">
        <v>1501</v>
      </c>
      <c r="AQ89" s="167" t="s">
        <v>1545</v>
      </c>
      <c r="AR89" s="150" t="s">
        <v>1503</v>
      </c>
      <c r="AS89" s="150">
        <f t="shared" si="126"/>
        <v>1</v>
      </c>
      <c r="AT89" s="150">
        <v>1</v>
      </c>
      <c r="AU89" s="150">
        <v>0</v>
      </c>
      <c r="AV89" s="150">
        <f t="shared" si="127"/>
        <v>0</v>
      </c>
      <c r="AW89" s="150">
        <v>0</v>
      </c>
      <c r="AX89" s="150">
        <v>0</v>
      </c>
      <c r="AY89" s="150">
        <f t="shared" si="128"/>
        <v>0</v>
      </c>
      <c r="AZ89" s="150">
        <v>0</v>
      </c>
      <c r="BA89" s="150">
        <f t="shared" si="129"/>
        <v>0</v>
      </c>
      <c r="BB89" s="150">
        <v>0</v>
      </c>
      <c r="BC89" s="150">
        <f t="shared" si="130"/>
        <v>0</v>
      </c>
      <c r="BD89" s="150">
        <v>0</v>
      </c>
      <c r="BE89" s="150">
        <f t="shared" si="131"/>
        <v>0</v>
      </c>
      <c r="BF89" s="150">
        <v>0</v>
      </c>
      <c r="BG89" s="150">
        <v>0</v>
      </c>
      <c r="BH89" s="150">
        <f t="shared" ref="BH89" si="172">IF(OR(BI89=1),1,0)</f>
        <v>0</v>
      </c>
      <c r="BI89" s="150">
        <v>0</v>
      </c>
      <c r="BJ89" s="150">
        <f t="shared" ref="BJ89" si="173">IF(OR(BK89=1),1,0)</f>
        <v>0</v>
      </c>
      <c r="BK89" s="150">
        <v>0</v>
      </c>
      <c r="BL89" s="152">
        <v>1</v>
      </c>
      <c r="BM89" s="153" t="s">
        <v>1628</v>
      </c>
      <c r="BN89" s="153">
        <v>1</v>
      </c>
      <c r="BO89" s="153">
        <v>1</v>
      </c>
      <c r="BP89" s="162" t="s">
        <v>1621</v>
      </c>
    </row>
    <row r="90" spans="1:68" x14ac:dyDescent="0.2">
      <c r="A90" s="146" t="s">
        <v>1482</v>
      </c>
      <c r="B90" s="147" t="str">
        <f>Elevage!L90</f>
        <v>SAINT PIERRE / PETITE ILE</v>
      </c>
      <c r="C90" s="163">
        <f>Elevage!B90</f>
        <v>46140</v>
      </c>
      <c r="D90" s="147">
        <v>0</v>
      </c>
      <c r="E90" s="148">
        <v>0</v>
      </c>
      <c r="G90" s="149">
        <v>1</v>
      </c>
      <c r="H90" s="150" t="s">
        <v>1493</v>
      </c>
      <c r="I90" s="150" t="s">
        <v>1629</v>
      </c>
      <c r="J90" s="150">
        <v>0</v>
      </c>
      <c r="K90" s="150">
        <v>35</v>
      </c>
      <c r="M90" s="150">
        <v>0</v>
      </c>
      <c r="N90" s="150">
        <v>2009</v>
      </c>
      <c r="O90" s="151">
        <f t="shared" si="125"/>
        <v>17</v>
      </c>
      <c r="P90" s="152">
        <v>0</v>
      </c>
      <c r="Q90" s="153" t="s">
        <v>1492</v>
      </c>
      <c r="R90" s="153">
        <v>0</v>
      </c>
      <c r="S90" s="153">
        <v>1</v>
      </c>
      <c r="T90" s="154" t="s">
        <v>1485</v>
      </c>
      <c r="U90" s="154">
        <v>0</v>
      </c>
      <c r="V90" s="154">
        <v>0</v>
      </c>
      <c r="W90" s="154">
        <v>0</v>
      </c>
      <c r="X90" s="154">
        <v>0</v>
      </c>
      <c r="Y90" s="154">
        <v>0</v>
      </c>
      <c r="Z90" s="154">
        <v>0</v>
      </c>
      <c r="AA90" s="154">
        <v>0</v>
      </c>
      <c r="AB90" s="154">
        <v>0</v>
      </c>
      <c r="AC90" s="155" t="s">
        <v>1496</v>
      </c>
      <c r="AD90" s="156" t="s">
        <v>1496</v>
      </c>
      <c r="AE90" s="156">
        <v>42</v>
      </c>
      <c r="AF90" s="157">
        <v>1</v>
      </c>
      <c r="AG90" s="158" t="s">
        <v>1630</v>
      </c>
      <c r="AH90" s="159" t="s">
        <v>1543</v>
      </c>
      <c r="AI90" s="160">
        <v>1</v>
      </c>
      <c r="AJ90" s="160">
        <v>1</v>
      </c>
      <c r="AK90" s="160">
        <v>0</v>
      </c>
      <c r="AL90" s="160">
        <v>1</v>
      </c>
      <c r="AM90" s="160">
        <v>0</v>
      </c>
      <c r="AN90" s="160">
        <v>0</v>
      </c>
      <c r="AO90" s="160">
        <v>0</v>
      </c>
      <c r="AP90" s="149" t="s">
        <v>1501</v>
      </c>
      <c r="AQ90" s="167" t="s">
        <v>1546</v>
      </c>
      <c r="AR90" s="150" t="s">
        <v>1503</v>
      </c>
      <c r="AS90" s="150">
        <f t="shared" si="126"/>
        <v>1</v>
      </c>
      <c r="AT90" s="150">
        <v>1</v>
      </c>
      <c r="AU90" s="150">
        <v>0</v>
      </c>
      <c r="AV90" s="150">
        <f t="shared" si="127"/>
        <v>0</v>
      </c>
      <c r="AW90" s="150">
        <v>0</v>
      </c>
      <c r="AX90" s="150">
        <v>0</v>
      </c>
      <c r="AY90" s="150">
        <f t="shared" si="128"/>
        <v>0</v>
      </c>
      <c r="AZ90" s="150">
        <v>0</v>
      </c>
      <c r="BA90" s="150">
        <f t="shared" si="129"/>
        <v>0</v>
      </c>
      <c r="BB90" s="150">
        <v>0</v>
      </c>
      <c r="BC90" s="150">
        <f t="shared" si="130"/>
        <v>0</v>
      </c>
      <c r="BD90" s="150">
        <v>0</v>
      </c>
      <c r="BE90" s="150">
        <f t="shared" si="131"/>
        <v>1</v>
      </c>
      <c r="BF90" s="150">
        <v>0</v>
      </c>
      <c r="BG90" s="150">
        <v>1</v>
      </c>
      <c r="BH90" s="150">
        <f t="shared" ref="BH90" si="174">IF(OR(BI90=1),1,0)</f>
        <v>0</v>
      </c>
      <c r="BI90" s="150">
        <v>0</v>
      </c>
      <c r="BJ90" s="150">
        <f t="shared" ref="BJ90" si="175">IF(OR(BK90=1),1,0)</f>
        <v>0</v>
      </c>
      <c r="BK90" s="150">
        <v>0</v>
      </c>
      <c r="BL90" s="152">
        <v>1</v>
      </c>
      <c r="BM90" s="153" t="s">
        <v>1561</v>
      </c>
      <c r="BN90" s="153">
        <v>0</v>
      </c>
      <c r="BO90" s="153">
        <v>1</v>
      </c>
      <c r="BP90" s="162" t="s">
        <v>1553</v>
      </c>
    </row>
    <row r="91" spans="1:68" x14ac:dyDescent="0.2">
      <c r="A91" s="146" t="s">
        <v>1483</v>
      </c>
      <c r="B91" s="147" t="str">
        <f>Elevage!L91</f>
        <v>ETANG SALE/SAINT LOUIS</v>
      </c>
      <c r="C91" s="163">
        <f>Elevage!B91</f>
        <v>46140</v>
      </c>
      <c r="D91" s="147">
        <v>0</v>
      </c>
      <c r="E91" s="148">
        <v>0</v>
      </c>
      <c r="G91" s="149">
        <v>1</v>
      </c>
      <c r="H91" s="150" t="s">
        <v>1493</v>
      </c>
      <c r="I91" s="150" t="s">
        <v>1612</v>
      </c>
      <c r="J91" s="150">
        <v>650</v>
      </c>
      <c r="K91" s="150">
        <v>60</v>
      </c>
      <c r="M91" s="150">
        <v>7</v>
      </c>
      <c r="N91" s="150">
        <v>2014</v>
      </c>
      <c r="O91" s="151">
        <f t="shared" si="125"/>
        <v>12</v>
      </c>
      <c r="P91" s="152">
        <v>0</v>
      </c>
      <c r="Q91" s="153" t="s">
        <v>1631</v>
      </c>
      <c r="R91" s="153">
        <v>0</v>
      </c>
      <c r="S91" s="153">
        <v>0</v>
      </c>
      <c r="T91" s="154" t="s">
        <v>1492</v>
      </c>
      <c r="U91" s="154">
        <v>0</v>
      </c>
      <c r="V91" s="154">
        <v>0</v>
      </c>
      <c r="W91" s="154">
        <v>0</v>
      </c>
      <c r="X91" s="154">
        <v>0</v>
      </c>
      <c r="Y91" s="154">
        <v>0</v>
      </c>
      <c r="Z91" s="154">
        <v>0</v>
      </c>
      <c r="AA91" s="154">
        <v>0</v>
      </c>
      <c r="AB91" s="154">
        <v>0</v>
      </c>
      <c r="AC91" s="155" t="s">
        <v>1496</v>
      </c>
      <c r="AD91" s="156" t="s">
        <v>1496</v>
      </c>
      <c r="AE91" s="156">
        <v>42</v>
      </c>
      <c r="AF91" s="157">
        <v>1</v>
      </c>
      <c r="AG91" s="158" t="s">
        <v>1613</v>
      </c>
      <c r="AH91" s="159" t="s">
        <v>1543</v>
      </c>
      <c r="AI91" s="160">
        <v>1</v>
      </c>
      <c r="AJ91" s="160">
        <v>1</v>
      </c>
      <c r="AK91" s="160">
        <v>0</v>
      </c>
      <c r="AL91" s="160">
        <v>0</v>
      </c>
      <c r="AM91" s="160">
        <v>0</v>
      </c>
      <c r="AN91" s="160">
        <v>0</v>
      </c>
      <c r="AO91" s="160">
        <v>0</v>
      </c>
      <c r="AQ91" s="167" t="s">
        <v>1545</v>
      </c>
      <c r="AR91" s="150" t="s">
        <v>1503</v>
      </c>
      <c r="AS91" s="150">
        <f t="shared" si="126"/>
        <v>1</v>
      </c>
      <c r="AT91" s="150">
        <v>1</v>
      </c>
      <c r="AU91" s="150">
        <v>0</v>
      </c>
      <c r="AV91" s="150">
        <f t="shared" si="127"/>
        <v>1</v>
      </c>
      <c r="AW91" s="150">
        <v>1</v>
      </c>
      <c r="AX91" s="150">
        <v>0</v>
      </c>
      <c r="AY91" s="150">
        <f t="shared" si="128"/>
        <v>0</v>
      </c>
      <c r="AZ91" s="150">
        <v>0</v>
      </c>
      <c r="BA91" s="150">
        <f t="shared" si="129"/>
        <v>0</v>
      </c>
      <c r="BB91" s="150">
        <v>0</v>
      </c>
      <c r="BC91" s="150">
        <f t="shared" si="130"/>
        <v>0</v>
      </c>
      <c r="BD91" s="150">
        <v>0</v>
      </c>
      <c r="BE91" s="150">
        <f t="shared" si="131"/>
        <v>0</v>
      </c>
      <c r="BF91" s="150">
        <v>0</v>
      </c>
      <c r="BG91" s="150">
        <v>0</v>
      </c>
      <c r="BH91" s="150">
        <f t="shared" ref="BH91" si="176">IF(OR(BI91=1),1,0)</f>
        <v>0</v>
      </c>
      <c r="BI91" s="150">
        <v>0</v>
      </c>
      <c r="BJ91" s="150">
        <f t="shared" ref="BJ91" si="177">IF(OR(BK91=1),1,0)</f>
        <v>0</v>
      </c>
      <c r="BK91" s="150">
        <v>0</v>
      </c>
      <c r="BL91" s="152">
        <v>1</v>
      </c>
      <c r="BM91" s="153" t="s">
        <v>1626</v>
      </c>
      <c r="BN91" s="153">
        <v>0</v>
      </c>
      <c r="BO91" s="153">
        <v>1</v>
      </c>
      <c r="BP91" s="162" t="s">
        <v>1621</v>
      </c>
    </row>
    <row r="92" spans="1:68" x14ac:dyDescent="0.2">
      <c r="A92" s="146" t="s">
        <v>1484</v>
      </c>
      <c r="B92" s="147" t="str">
        <f>Elevage!L92</f>
        <v>ETANG SALE/SAINT LOUIS</v>
      </c>
      <c r="C92" s="163">
        <f>Elevage!B92</f>
        <v>46140</v>
      </c>
      <c r="D92" s="147">
        <v>0</v>
      </c>
      <c r="E92" s="148">
        <v>0</v>
      </c>
      <c r="G92" s="149">
        <v>1</v>
      </c>
      <c r="H92" s="150" t="s">
        <v>1493</v>
      </c>
      <c r="I92" s="150" t="s">
        <v>1612</v>
      </c>
      <c r="J92" s="150">
        <v>650</v>
      </c>
      <c r="K92" s="150">
        <v>60</v>
      </c>
      <c r="M92" s="150">
        <v>7</v>
      </c>
      <c r="N92" s="150">
        <v>2024</v>
      </c>
      <c r="O92" s="151">
        <f t="shared" si="125"/>
        <v>2</v>
      </c>
      <c r="P92" s="152">
        <v>0</v>
      </c>
      <c r="Q92" s="153" t="s">
        <v>1615</v>
      </c>
      <c r="R92" s="153">
        <v>0</v>
      </c>
      <c r="S92" s="153">
        <v>1</v>
      </c>
      <c r="T92" s="154" t="s">
        <v>1516</v>
      </c>
      <c r="U92" s="154">
        <v>0</v>
      </c>
      <c r="V92" s="154">
        <v>0</v>
      </c>
      <c r="W92" s="154">
        <v>0</v>
      </c>
      <c r="X92" s="154">
        <v>1</v>
      </c>
      <c r="Y92" s="154">
        <v>0</v>
      </c>
      <c r="Z92" s="154">
        <v>0</v>
      </c>
      <c r="AA92" s="154">
        <v>0</v>
      </c>
      <c r="AB92" s="154">
        <v>0</v>
      </c>
      <c r="AC92" s="155" t="s">
        <v>1496</v>
      </c>
      <c r="AD92" s="156" t="s">
        <v>1496</v>
      </c>
      <c r="AE92" s="156">
        <v>42</v>
      </c>
      <c r="AF92" s="157">
        <v>0</v>
      </c>
      <c r="AG92" s="158" t="s">
        <v>1492</v>
      </c>
      <c r="AH92" s="159" t="s">
        <v>1543</v>
      </c>
      <c r="AI92" s="160">
        <v>0</v>
      </c>
      <c r="AJ92" s="160">
        <v>1</v>
      </c>
      <c r="AK92" s="160">
        <v>0</v>
      </c>
      <c r="AL92" s="160">
        <v>1</v>
      </c>
      <c r="AM92" s="160">
        <v>0</v>
      </c>
      <c r="AN92" s="160">
        <v>0</v>
      </c>
      <c r="AO92" s="160">
        <v>0</v>
      </c>
      <c r="AP92" s="149" t="s">
        <v>1513</v>
      </c>
      <c r="AQ92" s="167" t="s">
        <v>1546</v>
      </c>
      <c r="AR92" s="150" t="s">
        <v>1503</v>
      </c>
      <c r="AS92" s="150">
        <f t="shared" si="126"/>
        <v>1</v>
      </c>
      <c r="AT92" s="150">
        <v>1</v>
      </c>
      <c r="AU92" s="150">
        <v>0</v>
      </c>
      <c r="AV92" s="150">
        <f t="shared" si="127"/>
        <v>1</v>
      </c>
      <c r="AW92" s="150">
        <v>1</v>
      </c>
      <c r="AX92" s="150">
        <v>0</v>
      </c>
      <c r="AY92" s="150">
        <f t="shared" si="128"/>
        <v>0</v>
      </c>
      <c r="AZ92" s="150">
        <v>0</v>
      </c>
      <c r="BA92" s="150">
        <f t="shared" si="129"/>
        <v>0</v>
      </c>
      <c r="BB92" s="150">
        <v>0</v>
      </c>
      <c r="BC92" s="150">
        <f t="shared" si="130"/>
        <v>0</v>
      </c>
      <c r="BD92" s="150">
        <v>0</v>
      </c>
      <c r="BE92" s="150">
        <f t="shared" si="131"/>
        <v>0</v>
      </c>
      <c r="BF92" s="150">
        <v>0</v>
      </c>
      <c r="BG92" s="150">
        <v>0</v>
      </c>
      <c r="BH92" s="150">
        <f t="shared" ref="BH92" si="178">IF(OR(BI92=1),1,0)</f>
        <v>0</v>
      </c>
      <c r="BI92" s="150">
        <v>0</v>
      </c>
      <c r="BJ92" s="150">
        <f t="shared" ref="BJ92" si="179">IF(OR(BK92=1),1,0)</f>
        <v>0</v>
      </c>
      <c r="BK92" s="150">
        <v>0</v>
      </c>
      <c r="BL92" s="152">
        <v>1</v>
      </c>
      <c r="BM92" s="153" t="s">
        <v>1619</v>
      </c>
      <c r="BN92" s="153">
        <v>0</v>
      </c>
      <c r="BO92" s="153">
        <v>1</v>
      </c>
      <c r="BP92" s="162" t="s">
        <v>1553</v>
      </c>
    </row>
    <row r="93" spans="1:68" x14ac:dyDescent="0.2">
      <c r="C93" s="163"/>
      <c r="AQ93" s="167"/>
      <c r="BA93" s="150"/>
      <c r="BB93" s="150"/>
      <c r="BC93" s="150"/>
      <c r="BD93" s="150"/>
      <c r="BE93" s="150"/>
      <c r="BF93" s="150"/>
      <c r="BG93" s="150"/>
      <c r="BH93" s="150"/>
      <c r="BI93" s="150"/>
      <c r="BJ93" s="150"/>
      <c r="BK93" s="150"/>
    </row>
    <row r="94" spans="1:68" x14ac:dyDescent="0.2">
      <c r="AQ94" s="167"/>
      <c r="BA94" s="150"/>
      <c r="BB94" s="150"/>
      <c r="BC94" s="150"/>
      <c r="BD94" s="150"/>
      <c r="BE94" s="150"/>
      <c r="BF94" s="150"/>
      <c r="BG94" s="150"/>
      <c r="BH94" s="150"/>
      <c r="BI94" s="150"/>
      <c r="BJ94" s="150"/>
      <c r="BK94" s="150"/>
    </row>
    <row r="95" spans="1:68" x14ac:dyDescent="0.2">
      <c r="AQ95" s="167"/>
      <c r="BA95" s="150"/>
      <c r="BB95" s="150"/>
      <c r="BC95" s="150"/>
      <c r="BD95" s="150"/>
      <c r="BE95" s="150"/>
      <c r="BF95" s="150"/>
      <c r="BG95" s="150"/>
      <c r="BH95" s="150"/>
      <c r="BI95" s="150"/>
      <c r="BJ95" s="150"/>
      <c r="BK95" s="150"/>
    </row>
    <row r="96" spans="1:68" x14ac:dyDescent="0.2">
      <c r="AQ96" s="167"/>
      <c r="BA96" s="150"/>
      <c r="BB96" s="150"/>
      <c r="BC96" s="150"/>
      <c r="BD96" s="150"/>
      <c r="BE96" s="150"/>
      <c r="BF96" s="150"/>
      <c r="BG96" s="150"/>
      <c r="BH96" s="150"/>
      <c r="BI96" s="150"/>
      <c r="BJ96" s="150"/>
      <c r="BK96" s="150"/>
    </row>
    <row r="97" spans="43:63" x14ac:dyDescent="0.2">
      <c r="AQ97" s="167"/>
      <c r="BA97" s="150"/>
      <c r="BB97" s="150"/>
      <c r="BC97" s="150"/>
      <c r="BD97" s="150"/>
      <c r="BE97" s="150"/>
      <c r="BF97" s="150"/>
      <c r="BG97" s="150"/>
      <c r="BH97" s="150"/>
      <c r="BI97" s="150"/>
      <c r="BJ97" s="150"/>
      <c r="BK97" s="150"/>
    </row>
    <row r="98" spans="43:63" x14ac:dyDescent="0.2">
      <c r="AQ98" s="167"/>
      <c r="BA98" s="150"/>
      <c r="BB98" s="150"/>
      <c r="BC98" s="150"/>
      <c r="BD98" s="150"/>
      <c r="BE98" s="150"/>
      <c r="BF98" s="150"/>
      <c r="BG98" s="150"/>
      <c r="BH98" s="150"/>
      <c r="BI98" s="150"/>
      <c r="BJ98" s="150"/>
      <c r="BK98" s="150"/>
    </row>
    <row r="99" spans="43:63" x14ac:dyDescent="0.2">
      <c r="AQ99" s="167"/>
      <c r="BA99" s="150"/>
      <c r="BB99" s="150"/>
      <c r="BC99" s="150"/>
      <c r="BD99" s="150"/>
      <c r="BE99" s="150"/>
      <c r="BF99" s="150"/>
      <c r="BG99" s="150"/>
      <c r="BH99" s="150"/>
      <c r="BI99" s="150"/>
      <c r="BJ99" s="150"/>
      <c r="BK99" s="150"/>
    </row>
    <row r="100" spans="43:63" x14ac:dyDescent="0.2">
      <c r="AQ100" s="167"/>
      <c r="BA100" s="150"/>
      <c r="BB100" s="150"/>
      <c r="BC100" s="150"/>
      <c r="BD100" s="150"/>
      <c r="BE100" s="150"/>
      <c r="BF100" s="150"/>
      <c r="BG100" s="150"/>
      <c r="BH100" s="150"/>
      <c r="BI100" s="150"/>
      <c r="BJ100" s="150"/>
      <c r="BK100" s="150"/>
    </row>
    <row r="101" spans="43:63" x14ac:dyDescent="0.2">
      <c r="AQ101" s="167"/>
      <c r="BA101" s="150"/>
      <c r="BB101" s="150"/>
      <c r="BC101" s="150"/>
      <c r="BD101" s="150"/>
      <c r="BE101" s="150"/>
      <c r="BF101" s="150"/>
      <c r="BG101" s="150"/>
      <c r="BH101" s="150"/>
      <c r="BI101" s="150"/>
      <c r="BJ101" s="150"/>
      <c r="BK101" s="150"/>
    </row>
    <row r="102" spans="43:63" x14ac:dyDescent="0.2">
      <c r="AQ102" s="167"/>
      <c r="BA102" s="150"/>
      <c r="BB102" s="150"/>
      <c r="BC102" s="150"/>
      <c r="BD102" s="150"/>
      <c r="BE102" s="150"/>
      <c r="BF102" s="150"/>
      <c r="BG102" s="150"/>
      <c r="BH102" s="150"/>
      <c r="BI102" s="150"/>
      <c r="BJ102" s="150"/>
      <c r="BK102" s="150"/>
    </row>
    <row r="103" spans="43:63" x14ac:dyDescent="0.2">
      <c r="AQ103" s="167"/>
      <c r="BA103" s="150"/>
      <c r="BB103" s="150"/>
      <c r="BC103" s="150"/>
      <c r="BD103" s="150"/>
      <c r="BE103" s="150"/>
      <c r="BF103" s="150"/>
      <c r="BG103" s="150"/>
      <c r="BH103" s="150"/>
      <c r="BI103" s="150"/>
      <c r="BJ103" s="150"/>
      <c r="BK103" s="150"/>
    </row>
    <row r="104" spans="43:63" x14ac:dyDescent="0.2">
      <c r="AQ104" s="167"/>
      <c r="BA104" s="150"/>
      <c r="BB104" s="150"/>
      <c r="BC104" s="150"/>
      <c r="BD104" s="150"/>
      <c r="BE104" s="150"/>
      <c r="BF104" s="150"/>
      <c r="BG104" s="150"/>
      <c r="BH104" s="150"/>
      <c r="BI104" s="150"/>
      <c r="BJ104" s="150"/>
      <c r="BK104" s="150"/>
    </row>
    <row r="105" spans="43:63" x14ac:dyDescent="0.2">
      <c r="AQ105" s="167"/>
      <c r="BA105" s="150"/>
      <c r="BB105" s="150"/>
      <c r="BC105" s="150"/>
      <c r="BD105" s="150"/>
      <c r="BE105" s="150"/>
      <c r="BF105" s="150"/>
      <c r="BG105" s="150"/>
      <c r="BH105" s="150"/>
      <c r="BI105" s="150"/>
      <c r="BJ105" s="150"/>
      <c r="BK105" s="150"/>
    </row>
    <row r="106" spans="43:63" x14ac:dyDescent="0.2">
      <c r="AQ106" s="167"/>
      <c r="BA106" s="150"/>
      <c r="BB106" s="150"/>
      <c r="BC106" s="150"/>
      <c r="BD106" s="150"/>
      <c r="BE106" s="150"/>
      <c r="BF106" s="150"/>
      <c r="BG106" s="150"/>
      <c r="BH106" s="150"/>
      <c r="BI106" s="150"/>
      <c r="BJ106" s="150"/>
      <c r="BK106" s="150"/>
    </row>
    <row r="107" spans="43:63" x14ac:dyDescent="0.2">
      <c r="AQ107" s="167"/>
      <c r="BA107" s="150"/>
      <c r="BB107" s="150"/>
      <c r="BC107" s="150"/>
      <c r="BD107" s="150"/>
      <c r="BE107" s="150"/>
      <c r="BF107" s="150"/>
      <c r="BG107" s="150"/>
      <c r="BH107" s="150"/>
      <c r="BI107" s="150"/>
      <c r="BJ107" s="150"/>
      <c r="BK107" s="150"/>
    </row>
    <row r="108" spans="43:63" x14ac:dyDescent="0.2">
      <c r="AQ108" s="167"/>
      <c r="BA108" s="150"/>
      <c r="BB108" s="150"/>
      <c r="BC108" s="150"/>
      <c r="BD108" s="150"/>
      <c r="BE108" s="150"/>
      <c r="BF108" s="150"/>
      <c r="BG108" s="150"/>
      <c r="BH108" s="150"/>
      <c r="BI108" s="150"/>
      <c r="BJ108" s="150"/>
      <c r="BK108" s="150"/>
    </row>
    <row r="109" spans="43:63" x14ac:dyDescent="0.2">
      <c r="AQ109" s="167"/>
      <c r="BA109" s="150"/>
      <c r="BB109" s="150"/>
      <c r="BC109" s="150"/>
      <c r="BD109" s="150"/>
      <c r="BE109" s="150"/>
      <c r="BF109" s="150"/>
      <c r="BG109" s="150"/>
      <c r="BH109" s="150"/>
      <c r="BI109" s="150"/>
      <c r="BJ109" s="150"/>
      <c r="BK109" s="150"/>
    </row>
    <row r="110" spans="43:63" x14ac:dyDescent="0.2">
      <c r="AQ110" s="167"/>
      <c r="BA110" s="150"/>
      <c r="BB110" s="150"/>
      <c r="BC110" s="150"/>
      <c r="BD110" s="150"/>
      <c r="BE110" s="150"/>
      <c r="BF110" s="150"/>
      <c r="BG110" s="150"/>
      <c r="BH110" s="150"/>
      <c r="BI110" s="150"/>
      <c r="BJ110" s="150"/>
      <c r="BK110" s="150"/>
    </row>
    <row r="111" spans="43:63" x14ac:dyDescent="0.2">
      <c r="AQ111" s="167"/>
      <c r="BA111" s="150"/>
      <c r="BB111" s="150"/>
      <c r="BC111" s="150"/>
      <c r="BD111" s="150"/>
      <c r="BE111" s="150"/>
      <c r="BF111" s="150"/>
      <c r="BG111" s="150"/>
      <c r="BH111" s="150"/>
      <c r="BI111" s="150"/>
      <c r="BJ111" s="150"/>
      <c r="BK111" s="150"/>
    </row>
    <row r="112" spans="43:63" x14ac:dyDescent="0.2">
      <c r="AQ112" s="167"/>
      <c r="BA112" s="150"/>
      <c r="BB112" s="150"/>
      <c r="BC112" s="150"/>
      <c r="BD112" s="150"/>
      <c r="BE112" s="150"/>
      <c r="BF112" s="150"/>
      <c r="BG112" s="150"/>
      <c r="BH112" s="150"/>
      <c r="BI112" s="150"/>
      <c r="BJ112" s="150"/>
      <c r="BK112" s="150"/>
    </row>
    <row r="113" spans="43:63" x14ac:dyDescent="0.2">
      <c r="AQ113" s="167"/>
      <c r="BA113" s="150"/>
      <c r="BB113" s="150"/>
      <c r="BC113" s="150"/>
      <c r="BD113" s="150"/>
      <c r="BE113" s="150"/>
      <c r="BF113" s="150"/>
      <c r="BG113" s="150"/>
      <c r="BH113" s="150"/>
      <c r="BI113" s="150"/>
      <c r="BJ113" s="150"/>
      <c r="BK113" s="150"/>
    </row>
    <row r="114" spans="43:63" x14ac:dyDescent="0.2">
      <c r="AQ114" s="167"/>
      <c r="BA114" s="150"/>
      <c r="BB114" s="150"/>
      <c r="BC114" s="150"/>
      <c r="BD114" s="150"/>
      <c r="BE114" s="150"/>
      <c r="BF114" s="150"/>
      <c r="BG114" s="150"/>
      <c r="BH114" s="150"/>
      <c r="BI114" s="150"/>
      <c r="BJ114" s="150"/>
      <c r="BK114" s="150"/>
    </row>
    <row r="115" spans="43:63" x14ac:dyDescent="0.2">
      <c r="AQ115" s="167"/>
      <c r="BA115" s="150"/>
      <c r="BB115" s="150"/>
      <c r="BC115" s="150"/>
      <c r="BD115" s="150"/>
      <c r="BE115" s="150"/>
      <c r="BF115" s="150"/>
      <c r="BG115" s="150"/>
      <c r="BH115" s="150"/>
      <c r="BI115" s="150"/>
      <c r="BJ115" s="150"/>
      <c r="BK115" s="150"/>
    </row>
    <row r="116" spans="43:63" x14ac:dyDescent="0.2">
      <c r="AQ116" s="167"/>
      <c r="BA116" s="150"/>
      <c r="BB116" s="150"/>
      <c r="BC116" s="150"/>
      <c r="BD116" s="150"/>
      <c r="BE116" s="150"/>
      <c r="BF116" s="150"/>
      <c r="BG116" s="150"/>
      <c r="BH116" s="150"/>
      <c r="BI116" s="150"/>
      <c r="BJ116" s="150"/>
      <c r="BK116" s="150"/>
    </row>
    <row r="117" spans="43:63" x14ac:dyDescent="0.2">
      <c r="AQ117" s="167"/>
      <c r="BA117" s="150"/>
      <c r="BB117" s="150"/>
      <c r="BC117" s="150"/>
      <c r="BD117" s="150"/>
      <c r="BE117" s="150"/>
      <c r="BF117" s="150"/>
      <c r="BG117" s="150"/>
      <c r="BH117" s="150"/>
      <c r="BI117" s="150"/>
      <c r="BJ117" s="150"/>
      <c r="BK117" s="150"/>
    </row>
    <row r="118" spans="43:63" x14ac:dyDescent="0.2">
      <c r="AQ118" s="167"/>
      <c r="BA118" s="150"/>
      <c r="BB118" s="150"/>
      <c r="BC118" s="150"/>
      <c r="BD118" s="150"/>
      <c r="BE118" s="150"/>
      <c r="BF118" s="150"/>
      <c r="BG118" s="150"/>
      <c r="BH118" s="150"/>
      <c r="BI118" s="150"/>
      <c r="BJ118" s="150"/>
      <c r="BK118" s="150"/>
    </row>
    <row r="119" spans="43:63" x14ac:dyDescent="0.2">
      <c r="AQ119" s="167"/>
      <c r="BA119" s="150"/>
      <c r="BB119" s="150"/>
      <c r="BC119" s="150"/>
      <c r="BD119" s="150"/>
      <c r="BE119" s="150"/>
      <c r="BF119" s="150"/>
      <c r="BG119" s="150"/>
      <c r="BH119" s="150"/>
      <c r="BI119" s="150"/>
      <c r="BJ119" s="150"/>
      <c r="BK119" s="150"/>
    </row>
    <row r="120" spans="43:63" x14ac:dyDescent="0.2">
      <c r="AQ120" s="167"/>
      <c r="BA120" s="150"/>
      <c r="BB120" s="150"/>
      <c r="BC120" s="150"/>
      <c r="BD120" s="150"/>
      <c r="BE120" s="150"/>
      <c r="BF120" s="150"/>
      <c r="BG120" s="150"/>
      <c r="BH120" s="150"/>
      <c r="BI120" s="150"/>
      <c r="BJ120" s="150"/>
      <c r="BK120" s="150"/>
    </row>
    <row r="121" spans="43:63" x14ac:dyDescent="0.2">
      <c r="AQ121" s="167"/>
      <c r="BA121" s="150"/>
      <c r="BB121" s="150"/>
      <c r="BC121" s="150"/>
      <c r="BD121" s="150"/>
      <c r="BE121" s="150"/>
      <c r="BF121" s="150"/>
      <c r="BG121" s="150"/>
      <c r="BH121" s="150"/>
      <c r="BI121" s="150"/>
      <c r="BJ121" s="150"/>
      <c r="BK121" s="150"/>
    </row>
    <row r="122" spans="43:63" x14ac:dyDescent="0.2">
      <c r="AQ122" s="167"/>
      <c r="BA122" s="150"/>
      <c r="BB122" s="150"/>
      <c r="BC122" s="150"/>
      <c r="BD122" s="150"/>
      <c r="BE122" s="150"/>
      <c r="BF122" s="150"/>
      <c r="BG122" s="150"/>
      <c r="BH122" s="150"/>
      <c r="BI122" s="150"/>
      <c r="BJ122" s="150"/>
      <c r="BK122" s="150"/>
    </row>
    <row r="123" spans="43:63" x14ac:dyDescent="0.2">
      <c r="AQ123" s="167"/>
      <c r="BA123" s="150"/>
      <c r="BB123" s="150"/>
      <c r="BC123" s="150"/>
      <c r="BD123" s="150"/>
      <c r="BE123" s="150"/>
      <c r="BF123" s="150"/>
      <c r="BG123" s="150"/>
      <c r="BH123" s="150"/>
      <c r="BI123" s="150"/>
      <c r="BJ123" s="150"/>
      <c r="BK123" s="150"/>
    </row>
    <row r="124" spans="43:63" x14ac:dyDescent="0.2">
      <c r="AQ124" s="167"/>
      <c r="BA124" s="150"/>
      <c r="BB124" s="150"/>
      <c r="BC124" s="150"/>
      <c r="BD124" s="150"/>
      <c r="BE124" s="150"/>
      <c r="BF124" s="150"/>
      <c r="BG124" s="150"/>
      <c r="BH124" s="150"/>
      <c r="BI124" s="150"/>
      <c r="BJ124" s="150"/>
      <c r="BK124" s="150"/>
    </row>
    <row r="125" spans="43:63" x14ac:dyDescent="0.2">
      <c r="AQ125" s="167"/>
      <c r="BA125" s="150"/>
      <c r="BB125" s="150"/>
      <c r="BC125" s="150"/>
      <c r="BD125" s="150"/>
      <c r="BE125" s="150"/>
      <c r="BF125" s="150"/>
      <c r="BG125" s="150"/>
      <c r="BH125" s="150"/>
      <c r="BI125" s="150"/>
      <c r="BJ125" s="150"/>
      <c r="BK125" s="150"/>
    </row>
    <row r="126" spans="43:63" x14ac:dyDescent="0.2">
      <c r="AQ126" s="167"/>
      <c r="BA126" s="150"/>
      <c r="BB126" s="150"/>
      <c r="BC126" s="150"/>
      <c r="BD126" s="150"/>
      <c r="BE126" s="150"/>
      <c r="BF126" s="150"/>
      <c r="BG126" s="150"/>
      <c r="BH126" s="150"/>
      <c r="BI126" s="150"/>
      <c r="BJ126" s="150"/>
      <c r="BK126" s="150"/>
    </row>
    <row r="127" spans="43:63" x14ac:dyDescent="0.2">
      <c r="AQ127" s="167"/>
      <c r="BA127" s="150"/>
      <c r="BB127" s="150"/>
      <c r="BC127" s="150"/>
      <c r="BD127" s="150"/>
      <c r="BE127" s="150"/>
      <c r="BF127" s="150"/>
      <c r="BG127" s="150"/>
      <c r="BH127" s="150"/>
      <c r="BI127" s="150"/>
      <c r="BJ127" s="150"/>
      <c r="BK127" s="150"/>
    </row>
    <row r="128" spans="43:63" x14ac:dyDescent="0.2">
      <c r="AQ128" s="167"/>
      <c r="BA128" s="150"/>
      <c r="BB128" s="150"/>
      <c r="BC128" s="150"/>
      <c r="BD128" s="150"/>
      <c r="BE128" s="150"/>
      <c r="BF128" s="150"/>
      <c r="BG128" s="150"/>
      <c r="BH128" s="150"/>
      <c r="BI128" s="150"/>
      <c r="BJ128" s="150"/>
      <c r="BK128" s="150"/>
    </row>
    <row r="129" spans="43:63" x14ac:dyDescent="0.2">
      <c r="AQ129" s="167"/>
      <c r="BA129" s="150"/>
      <c r="BB129" s="150"/>
      <c r="BC129" s="150"/>
      <c r="BD129" s="150"/>
      <c r="BE129" s="150"/>
      <c r="BF129" s="150"/>
      <c r="BG129" s="150"/>
      <c r="BH129" s="150"/>
      <c r="BI129" s="150"/>
      <c r="BJ129" s="150"/>
      <c r="BK129" s="150"/>
    </row>
    <row r="130" spans="43:63" x14ac:dyDescent="0.2">
      <c r="AQ130" s="167"/>
      <c r="BA130" s="150"/>
      <c r="BB130" s="150"/>
      <c r="BC130" s="150"/>
      <c r="BD130" s="150"/>
      <c r="BE130" s="150"/>
      <c r="BF130" s="150"/>
      <c r="BG130" s="150"/>
      <c r="BH130" s="150"/>
      <c r="BI130" s="150"/>
      <c r="BJ130" s="150"/>
      <c r="BK130" s="150"/>
    </row>
    <row r="131" spans="43:63" x14ac:dyDescent="0.2">
      <c r="AQ131" s="167"/>
      <c r="BA131" s="150"/>
      <c r="BB131" s="150"/>
      <c r="BC131" s="150"/>
      <c r="BD131" s="150"/>
      <c r="BE131" s="150"/>
      <c r="BF131" s="150"/>
      <c r="BG131" s="150"/>
      <c r="BH131" s="150"/>
      <c r="BI131" s="150"/>
      <c r="BJ131" s="150"/>
      <c r="BK131" s="150"/>
    </row>
    <row r="132" spans="43:63" x14ac:dyDescent="0.2">
      <c r="AQ132" s="167"/>
      <c r="BA132" s="150"/>
      <c r="BB132" s="150"/>
      <c r="BC132" s="150"/>
      <c r="BD132" s="150"/>
      <c r="BE132" s="150"/>
      <c r="BF132" s="150"/>
      <c r="BG132" s="150"/>
      <c r="BH132" s="150"/>
      <c r="BI132" s="150"/>
      <c r="BJ132" s="150"/>
      <c r="BK132" s="150"/>
    </row>
    <row r="133" spans="43:63" x14ac:dyDescent="0.2">
      <c r="AQ133" s="167"/>
      <c r="BA133" s="150"/>
      <c r="BB133" s="150"/>
      <c r="BC133" s="150"/>
      <c r="BD133" s="150"/>
      <c r="BE133" s="150"/>
      <c r="BF133" s="150"/>
      <c r="BG133" s="150"/>
      <c r="BH133" s="150"/>
      <c r="BI133" s="150"/>
      <c r="BJ133" s="150"/>
      <c r="BK133" s="150"/>
    </row>
    <row r="134" spans="43:63" x14ac:dyDescent="0.2">
      <c r="AQ134" s="167"/>
      <c r="BA134" s="150"/>
      <c r="BB134" s="150"/>
      <c r="BC134" s="150"/>
      <c r="BD134" s="150"/>
      <c r="BE134" s="150"/>
      <c r="BF134" s="150"/>
      <c r="BG134" s="150"/>
      <c r="BH134" s="150"/>
      <c r="BI134" s="150"/>
      <c r="BJ134" s="150"/>
      <c r="BK134" s="150"/>
    </row>
    <row r="135" spans="43:63" x14ac:dyDescent="0.2">
      <c r="AQ135" s="167"/>
      <c r="BA135" s="150"/>
      <c r="BB135" s="150"/>
      <c r="BC135" s="150"/>
      <c r="BD135" s="150"/>
      <c r="BE135" s="150"/>
      <c r="BF135" s="150"/>
      <c r="BG135" s="150"/>
      <c r="BH135" s="150"/>
      <c r="BI135" s="150"/>
      <c r="BJ135" s="150"/>
      <c r="BK135" s="150"/>
    </row>
    <row r="136" spans="43:63" x14ac:dyDescent="0.2">
      <c r="AQ136" s="167"/>
      <c r="BA136" s="150"/>
      <c r="BB136" s="150"/>
      <c r="BC136" s="150"/>
      <c r="BD136" s="150"/>
      <c r="BE136" s="150"/>
      <c r="BF136" s="150"/>
      <c r="BG136" s="150"/>
      <c r="BH136" s="150"/>
      <c r="BI136" s="150"/>
      <c r="BJ136" s="150"/>
      <c r="BK136" s="150"/>
    </row>
    <row r="137" spans="43:63" x14ac:dyDescent="0.2">
      <c r="AQ137" s="167"/>
      <c r="BA137" s="150"/>
      <c r="BB137" s="150"/>
      <c r="BC137" s="150"/>
      <c r="BD137" s="150"/>
      <c r="BE137" s="150"/>
      <c r="BF137" s="150"/>
      <c r="BG137" s="150"/>
      <c r="BH137" s="150"/>
      <c r="BI137" s="150"/>
      <c r="BJ137" s="150"/>
      <c r="BK137" s="150"/>
    </row>
    <row r="138" spans="43:63" x14ac:dyDescent="0.2">
      <c r="AQ138" s="167"/>
      <c r="BA138" s="150"/>
      <c r="BB138" s="150"/>
      <c r="BC138" s="150"/>
      <c r="BD138" s="150"/>
      <c r="BE138" s="150"/>
      <c r="BF138" s="150"/>
      <c r="BG138" s="150"/>
      <c r="BH138" s="150"/>
      <c r="BI138" s="150"/>
      <c r="BJ138" s="150"/>
      <c r="BK138" s="150"/>
    </row>
    <row r="139" spans="43:63" x14ac:dyDescent="0.2">
      <c r="BA139" s="150"/>
      <c r="BB139" s="150"/>
      <c r="BC139" s="150"/>
      <c r="BD139" s="150"/>
      <c r="BE139" s="150"/>
      <c r="BF139" s="150"/>
      <c r="BG139" s="150"/>
      <c r="BH139" s="150"/>
      <c r="BI139" s="150"/>
      <c r="BJ139" s="150"/>
      <c r="BK139" s="150"/>
    </row>
    <row r="140" spans="43:63" x14ac:dyDescent="0.2">
      <c r="BA140" s="150"/>
      <c r="BB140" s="150"/>
      <c r="BC140" s="150"/>
      <c r="BD140" s="150"/>
      <c r="BE140" s="150"/>
      <c r="BF140" s="150"/>
      <c r="BG140" s="150"/>
      <c r="BH140" s="150"/>
      <c r="BI140" s="150"/>
      <c r="BJ140" s="150"/>
      <c r="BK140" s="150"/>
    </row>
    <row r="141" spans="43:63" x14ac:dyDescent="0.2">
      <c r="BA141" s="150"/>
      <c r="BB141" s="150"/>
      <c r="BC141" s="150"/>
      <c r="BD141" s="150"/>
      <c r="BE141" s="150"/>
      <c r="BF141" s="150"/>
      <c r="BG141" s="150"/>
      <c r="BH141" s="150"/>
      <c r="BI141" s="150"/>
      <c r="BJ141" s="150"/>
      <c r="BK141" s="150"/>
    </row>
    <row r="142" spans="43:63" x14ac:dyDescent="0.2">
      <c r="BA142" s="150"/>
      <c r="BB142" s="150"/>
      <c r="BC142" s="150"/>
      <c r="BD142" s="150"/>
      <c r="BE142" s="150"/>
      <c r="BF142" s="150"/>
      <c r="BG142" s="150"/>
      <c r="BH142" s="150"/>
      <c r="BI142" s="150"/>
      <c r="BJ142" s="150"/>
      <c r="BK142" s="150"/>
    </row>
    <row r="143" spans="43:63" x14ac:dyDescent="0.2">
      <c r="BA143" s="150"/>
      <c r="BB143" s="150"/>
      <c r="BC143" s="150"/>
      <c r="BD143" s="150"/>
      <c r="BE143" s="150"/>
      <c r="BF143" s="150"/>
      <c r="BG143" s="150"/>
      <c r="BH143" s="150"/>
      <c r="BI143" s="150"/>
      <c r="BJ143" s="150"/>
      <c r="BK143" s="150"/>
    </row>
    <row r="144" spans="43:63" x14ac:dyDescent="0.2">
      <c r="BA144" s="150"/>
      <c r="BB144" s="150"/>
      <c r="BC144" s="150"/>
      <c r="BD144" s="150"/>
      <c r="BE144" s="150"/>
      <c r="BF144" s="150"/>
      <c r="BG144" s="150"/>
      <c r="BH144" s="150"/>
      <c r="BI144" s="150"/>
      <c r="BJ144" s="150"/>
      <c r="BK144" s="150"/>
    </row>
    <row r="145" spans="53:63" x14ac:dyDescent="0.2">
      <c r="BA145" s="150"/>
      <c r="BB145" s="150"/>
      <c r="BC145" s="150"/>
      <c r="BD145" s="150"/>
      <c r="BE145" s="150"/>
      <c r="BF145" s="150"/>
      <c r="BG145" s="150"/>
      <c r="BH145" s="150"/>
      <c r="BI145" s="150"/>
      <c r="BJ145" s="150"/>
      <c r="BK145" s="150"/>
    </row>
    <row r="146" spans="53:63" x14ac:dyDescent="0.2">
      <c r="BA146" s="150"/>
      <c r="BB146" s="150"/>
      <c r="BC146" s="150"/>
      <c r="BD146" s="150"/>
      <c r="BE146" s="150"/>
      <c r="BF146" s="150"/>
      <c r="BG146" s="150"/>
      <c r="BH146" s="150"/>
      <c r="BI146" s="150"/>
      <c r="BJ146" s="150"/>
      <c r="BK146" s="150"/>
    </row>
    <row r="147" spans="53:63" x14ac:dyDescent="0.2">
      <c r="BA147" s="150"/>
      <c r="BB147" s="150"/>
      <c r="BC147" s="150"/>
      <c r="BD147" s="150"/>
      <c r="BE147" s="150"/>
      <c r="BF147" s="150"/>
      <c r="BG147" s="150"/>
      <c r="BH147" s="150"/>
      <c r="BI147" s="150"/>
      <c r="BJ147" s="150"/>
      <c r="BK147" s="150"/>
    </row>
    <row r="148" spans="53:63" x14ac:dyDescent="0.2">
      <c r="BA148" s="150"/>
      <c r="BB148" s="150"/>
      <c r="BC148" s="150"/>
      <c r="BD148" s="150"/>
      <c r="BE148" s="150"/>
      <c r="BF148" s="150"/>
      <c r="BG148" s="150"/>
      <c r="BH148" s="150"/>
      <c r="BI148" s="150"/>
      <c r="BJ148" s="150"/>
      <c r="BK148" s="150"/>
    </row>
    <row r="149" spans="53:63" x14ac:dyDescent="0.2">
      <c r="BA149" s="150"/>
      <c r="BB149" s="150"/>
      <c r="BC149" s="150"/>
      <c r="BD149" s="150"/>
      <c r="BE149" s="150"/>
      <c r="BF149" s="150"/>
      <c r="BG149" s="150"/>
      <c r="BH149" s="150"/>
      <c r="BI149" s="150"/>
      <c r="BJ149" s="150"/>
      <c r="BK149" s="150"/>
    </row>
    <row r="150" spans="53:63" x14ac:dyDescent="0.2">
      <c r="BA150" s="150"/>
      <c r="BB150" s="150"/>
      <c r="BC150" s="150"/>
      <c r="BD150" s="150"/>
      <c r="BE150" s="150"/>
      <c r="BF150" s="150"/>
      <c r="BG150" s="150"/>
      <c r="BH150" s="150"/>
      <c r="BI150" s="150"/>
      <c r="BJ150" s="150"/>
      <c r="BK150" s="150"/>
    </row>
    <row r="151" spans="53:63" x14ac:dyDescent="0.2">
      <c r="BA151" s="150"/>
      <c r="BB151" s="150"/>
      <c r="BC151" s="150"/>
      <c r="BD151" s="150"/>
      <c r="BE151" s="150"/>
      <c r="BF151" s="150"/>
      <c r="BG151" s="150"/>
      <c r="BH151" s="150"/>
      <c r="BI151" s="150"/>
      <c r="BJ151" s="150"/>
      <c r="BK151" s="150"/>
    </row>
    <row r="152" spans="53:63" x14ac:dyDescent="0.2">
      <c r="BA152" s="150"/>
      <c r="BB152" s="150"/>
      <c r="BC152" s="150"/>
      <c r="BD152" s="150"/>
      <c r="BE152" s="150"/>
      <c r="BF152" s="150"/>
      <c r="BG152" s="150"/>
      <c r="BH152" s="150"/>
      <c r="BI152" s="150"/>
      <c r="BJ152" s="150"/>
      <c r="BK152" s="150"/>
    </row>
    <row r="153" spans="53:63" x14ac:dyDescent="0.2">
      <c r="BA153" s="150"/>
      <c r="BB153" s="150"/>
      <c r="BC153" s="150"/>
      <c r="BD153" s="150"/>
      <c r="BE153" s="150"/>
      <c r="BF153" s="150"/>
      <c r="BG153" s="150"/>
      <c r="BH153" s="150"/>
      <c r="BI153" s="150"/>
      <c r="BJ153" s="150"/>
      <c r="BK153" s="150"/>
    </row>
    <row r="154" spans="53:63" x14ac:dyDescent="0.2">
      <c r="BA154" s="150"/>
      <c r="BB154" s="150"/>
      <c r="BC154" s="150"/>
      <c r="BD154" s="150"/>
      <c r="BE154" s="150"/>
      <c r="BF154" s="150"/>
      <c r="BG154" s="150"/>
      <c r="BH154" s="150"/>
      <c r="BI154" s="150"/>
      <c r="BJ154" s="150"/>
      <c r="BK154" s="150"/>
    </row>
    <row r="155" spans="53:63" x14ac:dyDescent="0.2">
      <c r="BA155" s="150"/>
      <c r="BB155" s="150"/>
      <c r="BC155" s="150"/>
      <c r="BD155" s="150"/>
      <c r="BE155" s="150"/>
      <c r="BF155" s="150"/>
      <c r="BG155" s="150"/>
      <c r="BH155" s="150"/>
      <c r="BI155" s="150"/>
      <c r="BJ155" s="150"/>
      <c r="BK155" s="150"/>
    </row>
    <row r="156" spans="53:63" x14ac:dyDescent="0.2">
      <c r="BA156" s="150"/>
      <c r="BB156" s="150"/>
      <c r="BC156" s="150"/>
      <c r="BD156" s="150"/>
      <c r="BE156" s="150"/>
      <c r="BF156" s="150"/>
      <c r="BG156" s="150"/>
      <c r="BH156" s="150"/>
      <c r="BI156" s="150"/>
      <c r="BJ156" s="150"/>
      <c r="BK156" s="150"/>
    </row>
    <row r="157" spans="53:63" x14ac:dyDescent="0.2">
      <c r="BA157" s="150"/>
      <c r="BB157" s="150"/>
      <c r="BC157" s="150"/>
      <c r="BD157" s="150"/>
      <c r="BE157" s="150"/>
      <c r="BF157" s="150"/>
      <c r="BG157" s="150"/>
      <c r="BH157" s="150"/>
      <c r="BI157" s="150"/>
      <c r="BJ157" s="150"/>
      <c r="BK157" s="150"/>
    </row>
    <row r="158" spans="53:63" x14ac:dyDescent="0.2">
      <c r="BA158" s="150"/>
      <c r="BB158" s="150"/>
      <c r="BC158" s="150"/>
      <c r="BD158" s="150"/>
      <c r="BE158" s="150"/>
      <c r="BF158" s="150"/>
      <c r="BG158" s="150"/>
      <c r="BH158" s="150"/>
      <c r="BI158" s="150"/>
      <c r="BJ158" s="150"/>
      <c r="BK158" s="150"/>
    </row>
    <row r="159" spans="53:63" x14ac:dyDescent="0.2">
      <c r="BA159" s="150"/>
      <c r="BB159" s="150"/>
      <c r="BC159" s="150"/>
      <c r="BD159" s="150"/>
      <c r="BE159" s="150"/>
      <c r="BF159" s="150"/>
      <c r="BG159" s="150"/>
      <c r="BH159" s="150"/>
      <c r="BI159" s="150"/>
      <c r="BJ159" s="150"/>
      <c r="BK159" s="150"/>
    </row>
    <row r="160" spans="53:63" x14ac:dyDescent="0.2">
      <c r="BA160" s="150"/>
      <c r="BB160" s="150"/>
      <c r="BC160" s="150"/>
      <c r="BD160" s="150"/>
      <c r="BE160" s="150"/>
      <c r="BF160" s="150"/>
      <c r="BG160" s="150"/>
      <c r="BH160" s="150"/>
      <c r="BI160" s="150"/>
      <c r="BJ160" s="150"/>
      <c r="BK160" s="150"/>
    </row>
    <row r="161" spans="53:63" x14ac:dyDescent="0.2">
      <c r="BA161" s="150"/>
      <c r="BB161" s="150"/>
      <c r="BC161" s="150"/>
      <c r="BD161" s="150"/>
      <c r="BE161" s="150"/>
      <c r="BF161" s="150"/>
      <c r="BG161" s="150"/>
      <c r="BH161" s="150"/>
      <c r="BI161" s="150"/>
      <c r="BJ161" s="150"/>
      <c r="BK161" s="150"/>
    </row>
    <row r="162" spans="53:63" x14ac:dyDescent="0.2">
      <c r="BA162" s="150"/>
      <c r="BB162" s="150"/>
      <c r="BC162" s="150"/>
      <c r="BD162" s="150"/>
      <c r="BE162" s="150"/>
      <c r="BF162" s="150"/>
      <c r="BG162" s="150"/>
      <c r="BH162" s="150"/>
      <c r="BI162" s="150"/>
      <c r="BJ162" s="150"/>
      <c r="BK162" s="150"/>
    </row>
    <row r="163" spans="53:63" x14ac:dyDescent="0.2">
      <c r="BA163" s="150"/>
      <c r="BB163" s="150"/>
      <c r="BC163" s="150"/>
      <c r="BD163" s="150"/>
      <c r="BE163" s="150"/>
      <c r="BF163" s="150"/>
      <c r="BG163" s="150"/>
      <c r="BH163" s="150"/>
      <c r="BI163" s="150"/>
      <c r="BJ163" s="150"/>
      <c r="BK163" s="150"/>
    </row>
    <row r="164" spans="53:63" x14ac:dyDescent="0.2">
      <c r="BA164" s="150"/>
      <c r="BB164" s="150"/>
      <c r="BC164" s="150"/>
      <c r="BD164" s="150"/>
      <c r="BE164" s="150"/>
      <c r="BF164" s="150"/>
      <c r="BG164" s="150"/>
      <c r="BH164" s="150"/>
      <c r="BI164" s="150"/>
      <c r="BJ164" s="150"/>
      <c r="BK164" s="150"/>
    </row>
    <row r="165" spans="53:63" x14ac:dyDescent="0.2">
      <c r="BA165" s="150"/>
      <c r="BB165" s="150"/>
      <c r="BC165" s="150"/>
      <c r="BD165" s="150"/>
      <c r="BE165" s="150"/>
      <c r="BF165" s="150"/>
      <c r="BG165" s="150"/>
      <c r="BH165" s="150"/>
      <c r="BI165" s="150"/>
      <c r="BJ165" s="150"/>
      <c r="BK165" s="150"/>
    </row>
    <row r="166" spans="53:63" x14ac:dyDescent="0.2">
      <c r="BA166" s="150"/>
      <c r="BB166" s="150"/>
      <c r="BC166" s="150"/>
      <c r="BD166" s="150"/>
      <c r="BE166" s="150"/>
      <c r="BF166" s="150"/>
      <c r="BG166" s="150"/>
      <c r="BH166" s="150"/>
      <c r="BI166" s="150"/>
      <c r="BJ166" s="150"/>
      <c r="BK166" s="150"/>
    </row>
    <row r="167" spans="53:63" x14ac:dyDescent="0.2">
      <c r="BA167" s="150"/>
      <c r="BB167" s="150"/>
      <c r="BC167" s="150"/>
      <c r="BD167" s="150"/>
      <c r="BE167" s="150"/>
      <c r="BF167" s="150"/>
      <c r="BG167" s="150"/>
      <c r="BH167" s="150"/>
      <c r="BI167" s="150"/>
      <c r="BJ167" s="150"/>
      <c r="BK167" s="150"/>
    </row>
    <row r="168" spans="53:63" x14ac:dyDescent="0.2">
      <c r="BA168" s="150"/>
      <c r="BB168" s="150"/>
      <c r="BC168" s="150"/>
      <c r="BD168" s="150"/>
      <c r="BE168" s="150"/>
      <c r="BF168" s="150"/>
      <c r="BG168" s="150"/>
      <c r="BH168" s="150"/>
      <c r="BI168" s="150"/>
      <c r="BJ168" s="150"/>
      <c r="BK168" s="150"/>
    </row>
    <row r="169" spans="53:63" x14ac:dyDescent="0.2">
      <c r="BA169" s="150"/>
      <c r="BB169" s="150"/>
      <c r="BC169" s="150"/>
      <c r="BD169" s="150"/>
      <c r="BE169" s="150"/>
      <c r="BF169" s="150"/>
      <c r="BG169" s="150"/>
      <c r="BH169" s="150"/>
      <c r="BI169" s="150"/>
      <c r="BJ169" s="150"/>
      <c r="BK169" s="150"/>
    </row>
    <row r="170" spans="53:63" x14ac:dyDescent="0.2">
      <c r="BA170" s="150"/>
      <c r="BB170" s="150"/>
      <c r="BC170" s="150"/>
      <c r="BD170" s="150"/>
      <c r="BE170" s="150"/>
      <c r="BF170" s="150"/>
      <c r="BG170" s="150"/>
      <c r="BH170" s="150"/>
      <c r="BI170" s="150"/>
      <c r="BJ170" s="150"/>
      <c r="BK170" s="150"/>
    </row>
    <row r="171" spans="53:63" x14ac:dyDescent="0.2">
      <c r="BA171" s="150"/>
      <c r="BB171" s="150"/>
      <c r="BC171" s="150"/>
      <c r="BD171" s="150"/>
      <c r="BE171" s="150"/>
      <c r="BF171" s="150"/>
      <c r="BG171" s="150"/>
      <c r="BH171" s="150"/>
      <c r="BI171" s="150"/>
      <c r="BJ171" s="150"/>
      <c r="BK171" s="150"/>
    </row>
    <row r="172" spans="53:63" x14ac:dyDescent="0.2">
      <c r="BA172" s="150"/>
      <c r="BB172" s="150"/>
      <c r="BC172" s="150"/>
      <c r="BD172" s="150"/>
      <c r="BE172" s="150"/>
      <c r="BF172" s="150"/>
      <c r="BG172" s="150"/>
      <c r="BH172" s="150"/>
      <c r="BI172" s="150"/>
      <c r="BJ172" s="150"/>
      <c r="BK172" s="150"/>
    </row>
    <row r="173" spans="53:63" x14ac:dyDescent="0.2">
      <c r="BA173" s="150"/>
      <c r="BB173" s="150"/>
      <c r="BC173" s="150"/>
      <c r="BD173" s="150"/>
      <c r="BE173" s="150"/>
      <c r="BF173" s="150"/>
      <c r="BG173" s="150"/>
      <c r="BH173" s="150"/>
      <c r="BI173" s="150"/>
      <c r="BJ173" s="150"/>
      <c r="BK173" s="150"/>
    </row>
    <row r="174" spans="53:63" x14ac:dyDescent="0.2">
      <c r="BA174" s="150"/>
      <c r="BB174" s="150"/>
      <c r="BC174" s="150"/>
      <c r="BD174" s="150"/>
      <c r="BE174" s="150"/>
      <c r="BF174" s="150"/>
      <c r="BG174" s="150"/>
      <c r="BH174" s="150"/>
      <c r="BI174" s="150"/>
      <c r="BJ174" s="150"/>
      <c r="BK174" s="150"/>
    </row>
    <row r="175" spans="53:63" x14ac:dyDescent="0.2">
      <c r="BA175" s="150"/>
      <c r="BB175" s="150"/>
      <c r="BC175" s="150"/>
      <c r="BD175" s="150"/>
      <c r="BE175" s="150"/>
      <c r="BF175" s="150"/>
      <c r="BG175" s="150"/>
      <c r="BH175" s="150"/>
      <c r="BI175" s="150"/>
      <c r="BJ175" s="150"/>
      <c r="BK175" s="150"/>
    </row>
    <row r="176" spans="53:63" x14ac:dyDescent="0.2">
      <c r="BA176" s="150"/>
      <c r="BB176" s="150"/>
      <c r="BC176" s="150"/>
      <c r="BD176" s="150"/>
      <c r="BE176" s="150"/>
      <c r="BF176" s="150"/>
      <c r="BG176" s="150"/>
      <c r="BH176" s="150"/>
      <c r="BI176" s="150"/>
      <c r="BJ176" s="150"/>
      <c r="BK176" s="150"/>
    </row>
    <row r="177" spans="53:63" x14ac:dyDescent="0.2">
      <c r="BA177" s="150"/>
      <c r="BB177" s="150"/>
      <c r="BC177" s="150"/>
      <c r="BD177" s="150"/>
      <c r="BE177" s="150"/>
      <c r="BF177" s="150"/>
      <c r="BG177" s="150"/>
      <c r="BH177" s="150"/>
      <c r="BI177" s="150"/>
      <c r="BJ177" s="150"/>
      <c r="BK177" s="150"/>
    </row>
    <row r="178" spans="53:63" x14ac:dyDescent="0.2">
      <c r="BA178" s="150"/>
      <c r="BB178" s="150"/>
      <c r="BC178" s="150"/>
      <c r="BD178" s="150"/>
      <c r="BE178" s="150"/>
      <c r="BF178" s="150"/>
      <c r="BG178" s="150"/>
      <c r="BH178" s="150"/>
      <c r="BI178" s="150"/>
      <c r="BJ178" s="150"/>
      <c r="BK178" s="150"/>
    </row>
    <row r="179" spans="53:63" x14ac:dyDescent="0.2">
      <c r="BA179" s="150"/>
      <c r="BB179" s="150"/>
      <c r="BC179" s="150"/>
      <c r="BD179" s="150"/>
      <c r="BE179" s="150"/>
      <c r="BF179" s="150"/>
      <c r="BG179" s="150"/>
      <c r="BH179" s="150"/>
      <c r="BI179" s="150"/>
      <c r="BJ179" s="150"/>
      <c r="BK179" s="150"/>
    </row>
    <row r="180" spans="53:63" x14ac:dyDescent="0.2">
      <c r="BA180" s="150"/>
      <c r="BB180" s="150"/>
      <c r="BC180" s="150"/>
      <c r="BD180" s="150"/>
      <c r="BE180" s="150"/>
      <c r="BF180" s="150"/>
      <c r="BG180" s="150"/>
      <c r="BH180" s="150"/>
      <c r="BI180" s="150"/>
      <c r="BJ180" s="150"/>
      <c r="BK180" s="150"/>
    </row>
    <row r="181" spans="53:63" x14ac:dyDescent="0.2">
      <c r="BA181" s="150"/>
      <c r="BB181" s="150"/>
      <c r="BC181" s="150"/>
      <c r="BD181" s="150"/>
      <c r="BE181" s="150"/>
      <c r="BF181" s="150"/>
      <c r="BG181" s="150"/>
      <c r="BH181" s="150"/>
      <c r="BI181" s="150"/>
      <c r="BJ181" s="150"/>
      <c r="BK181" s="150"/>
    </row>
    <row r="182" spans="53:63" x14ac:dyDescent="0.2">
      <c r="BA182" s="150"/>
      <c r="BB182" s="150"/>
      <c r="BC182" s="150"/>
      <c r="BD182" s="150"/>
      <c r="BE182" s="150"/>
      <c r="BF182" s="150"/>
      <c r="BG182" s="150"/>
      <c r="BH182" s="150"/>
      <c r="BI182" s="150"/>
      <c r="BJ182" s="150"/>
      <c r="BK182" s="150"/>
    </row>
    <row r="183" spans="53:63" x14ac:dyDescent="0.2">
      <c r="BA183" s="150"/>
      <c r="BB183" s="150"/>
      <c r="BC183" s="150"/>
      <c r="BD183" s="150"/>
      <c r="BE183" s="150"/>
      <c r="BF183" s="150"/>
      <c r="BG183" s="150"/>
      <c r="BH183" s="150"/>
      <c r="BI183" s="150"/>
      <c r="BJ183" s="150"/>
      <c r="BK183" s="150"/>
    </row>
    <row r="184" spans="53:63" x14ac:dyDescent="0.2">
      <c r="BA184" s="150"/>
      <c r="BB184" s="150"/>
      <c r="BC184" s="150"/>
      <c r="BD184" s="150"/>
      <c r="BE184" s="150"/>
      <c r="BF184" s="150"/>
      <c r="BG184" s="150"/>
      <c r="BH184" s="150"/>
      <c r="BI184" s="150"/>
      <c r="BJ184" s="150"/>
      <c r="BK184" s="150"/>
    </row>
    <row r="185" spans="53:63" x14ac:dyDescent="0.2">
      <c r="BA185" s="150"/>
      <c r="BB185" s="150"/>
      <c r="BC185" s="150"/>
      <c r="BD185" s="150"/>
      <c r="BE185" s="150"/>
      <c r="BF185" s="150"/>
      <c r="BG185" s="150"/>
      <c r="BH185" s="150"/>
      <c r="BI185" s="150"/>
      <c r="BJ185" s="150"/>
      <c r="BK185" s="150"/>
    </row>
    <row r="186" spans="53:63" x14ac:dyDescent="0.2">
      <c r="BA186" s="150"/>
      <c r="BB186" s="150"/>
      <c r="BC186" s="150"/>
      <c r="BD186" s="150"/>
      <c r="BE186" s="150"/>
      <c r="BF186" s="150"/>
      <c r="BG186" s="150"/>
      <c r="BH186" s="150"/>
      <c r="BI186" s="150"/>
      <c r="BJ186" s="150"/>
      <c r="BK186" s="150"/>
    </row>
    <row r="187" spans="53:63" x14ac:dyDescent="0.2">
      <c r="BA187" s="150"/>
      <c r="BB187" s="150"/>
      <c r="BC187" s="150"/>
      <c r="BD187" s="150"/>
      <c r="BE187" s="150"/>
      <c r="BF187" s="150"/>
      <c r="BG187" s="150"/>
      <c r="BH187" s="150"/>
      <c r="BI187" s="150"/>
      <c r="BJ187" s="150"/>
      <c r="BK187" s="150"/>
    </row>
    <row r="188" spans="53:63" x14ac:dyDescent="0.2">
      <c r="BA188" s="150"/>
      <c r="BB188" s="150"/>
      <c r="BC188" s="150"/>
      <c r="BD188" s="150"/>
      <c r="BE188" s="150"/>
      <c r="BF188" s="150"/>
      <c r="BG188" s="150"/>
      <c r="BH188" s="150"/>
      <c r="BI188" s="150"/>
      <c r="BJ188" s="150"/>
      <c r="BK188" s="150"/>
    </row>
    <row r="189" spans="53:63" x14ac:dyDescent="0.2">
      <c r="BA189" s="150"/>
      <c r="BB189" s="150"/>
      <c r="BC189" s="150"/>
      <c r="BD189" s="150"/>
      <c r="BE189" s="150"/>
      <c r="BF189" s="150"/>
      <c r="BG189" s="150"/>
      <c r="BH189" s="150"/>
      <c r="BI189" s="150"/>
      <c r="BJ189" s="150"/>
      <c r="BK189" s="150"/>
    </row>
    <row r="190" spans="53:63" x14ac:dyDescent="0.2">
      <c r="BA190" s="150"/>
      <c r="BB190" s="150"/>
      <c r="BC190" s="150"/>
      <c r="BD190" s="150"/>
      <c r="BE190" s="150"/>
      <c r="BF190" s="150"/>
      <c r="BG190" s="150"/>
      <c r="BH190" s="150"/>
      <c r="BI190" s="150"/>
      <c r="BJ190" s="150"/>
      <c r="BK190" s="150"/>
    </row>
    <row r="191" spans="53:63" x14ac:dyDescent="0.2">
      <c r="BA191" s="150"/>
      <c r="BB191" s="150"/>
      <c r="BC191" s="150"/>
      <c r="BD191" s="150"/>
      <c r="BE191" s="150"/>
      <c r="BF191" s="150"/>
      <c r="BG191" s="150"/>
      <c r="BH191" s="150"/>
      <c r="BI191" s="150"/>
      <c r="BJ191" s="150"/>
      <c r="BK191" s="150"/>
    </row>
    <row r="192" spans="53:63" x14ac:dyDescent="0.2">
      <c r="BA192" s="150"/>
      <c r="BB192" s="150"/>
      <c r="BC192" s="150"/>
      <c r="BD192" s="150"/>
      <c r="BE192" s="150"/>
      <c r="BF192" s="150"/>
      <c r="BG192" s="150"/>
      <c r="BH192" s="150"/>
      <c r="BI192" s="150"/>
      <c r="BJ192" s="150"/>
      <c r="BK192" s="150"/>
    </row>
    <row r="193" spans="53:63" x14ac:dyDescent="0.2">
      <c r="BA193" s="150"/>
      <c r="BB193" s="150"/>
      <c r="BC193" s="150"/>
      <c r="BD193" s="150"/>
      <c r="BE193" s="150"/>
      <c r="BF193" s="150"/>
      <c r="BG193" s="150"/>
      <c r="BH193" s="150"/>
      <c r="BI193" s="150"/>
      <c r="BJ193" s="150"/>
      <c r="BK193" s="150"/>
    </row>
    <row r="194" spans="53:63" x14ac:dyDescent="0.2">
      <c r="BA194" s="150"/>
      <c r="BB194" s="150"/>
      <c r="BC194" s="150"/>
      <c r="BD194" s="150"/>
      <c r="BE194" s="150"/>
      <c r="BF194" s="150"/>
      <c r="BG194" s="150"/>
      <c r="BH194" s="150"/>
      <c r="BI194" s="150"/>
      <c r="BJ194" s="150"/>
      <c r="BK194" s="150"/>
    </row>
    <row r="195" spans="53:63" x14ac:dyDescent="0.2">
      <c r="BA195" s="150"/>
      <c r="BB195" s="150"/>
      <c r="BC195" s="150"/>
      <c r="BD195" s="150"/>
      <c r="BE195" s="150"/>
      <c r="BF195" s="150"/>
      <c r="BG195" s="150"/>
      <c r="BH195" s="150"/>
      <c r="BI195" s="150"/>
      <c r="BJ195" s="150"/>
      <c r="BK195" s="150"/>
    </row>
    <row r="196" spans="53:63" x14ac:dyDescent="0.2">
      <c r="BA196" s="150"/>
      <c r="BB196" s="150"/>
      <c r="BC196" s="150"/>
      <c r="BD196" s="150"/>
      <c r="BE196" s="150"/>
      <c r="BF196" s="150"/>
      <c r="BG196" s="150"/>
      <c r="BH196" s="150"/>
      <c r="BI196" s="150"/>
      <c r="BJ196" s="150"/>
      <c r="BK196" s="150"/>
    </row>
    <row r="197" spans="53:63" x14ac:dyDescent="0.2">
      <c r="BA197" s="150"/>
      <c r="BB197" s="150"/>
      <c r="BC197" s="150"/>
      <c r="BD197" s="150"/>
      <c r="BE197" s="150"/>
      <c r="BF197" s="150"/>
      <c r="BG197" s="150"/>
      <c r="BH197" s="150"/>
      <c r="BI197" s="150"/>
      <c r="BJ197" s="150"/>
      <c r="BK197" s="150"/>
    </row>
    <row r="198" spans="53:63" x14ac:dyDescent="0.2">
      <c r="BA198" s="150"/>
      <c r="BB198" s="150"/>
      <c r="BC198" s="150"/>
      <c r="BD198" s="150"/>
      <c r="BE198" s="150"/>
      <c r="BF198" s="150"/>
      <c r="BG198" s="150"/>
      <c r="BH198" s="150"/>
      <c r="BI198" s="150"/>
      <c r="BJ198" s="150"/>
      <c r="BK198" s="150"/>
    </row>
    <row r="199" spans="53:63" x14ac:dyDescent="0.2">
      <c r="BA199" s="150"/>
      <c r="BB199" s="150"/>
      <c r="BC199" s="150"/>
      <c r="BD199" s="150"/>
      <c r="BE199" s="150"/>
      <c r="BF199" s="150"/>
      <c r="BG199" s="150"/>
      <c r="BH199" s="150"/>
      <c r="BI199" s="150"/>
      <c r="BJ199" s="150"/>
      <c r="BK199" s="150"/>
    </row>
    <row r="200" spans="53:63" x14ac:dyDescent="0.2">
      <c r="BA200" s="150"/>
      <c r="BB200" s="150"/>
      <c r="BC200" s="150"/>
      <c r="BD200" s="150"/>
      <c r="BE200" s="150"/>
      <c r="BF200" s="150"/>
      <c r="BG200" s="150"/>
      <c r="BH200" s="150"/>
      <c r="BI200" s="150"/>
      <c r="BJ200" s="150"/>
      <c r="BK200" s="150"/>
    </row>
    <row r="201" spans="53:63" x14ac:dyDescent="0.2">
      <c r="BA201" s="150"/>
      <c r="BB201" s="150"/>
      <c r="BC201" s="150"/>
      <c r="BD201" s="150"/>
      <c r="BE201" s="150"/>
      <c r="BF201" s="150"/>
      <c r="BG201" s="150"/>
      <c r="BH201" s="150"/>
      <c r="BI201" s="150"/>
      <c r="BJ201" s="150"/>
      <c r="BK201" s="150"/>
    </row>
    <row r="202" spans="53:63" x14ac:dyDescent="0.2">
      <c r="BA202" s="150"/>
      <c r="BB202" s="150"/>
      <c r="BC202" s="150"/>
      <c r="BD202" s="150"/>
      <c r="BE202" s="150"/>
      <c r="BF202" s="150"/>
      <c r="BG202" s="150"/>
      <c r="BH202" s="150"/>
      <c r="BI202" s="150"/>
      <c r="BJ202" s="150"/>
      <c r="BK202" s="150"/>
    </row>
    <row r="203" spans="53:63" x14ac:dyDescent="0.2">
      <c r="BA203" s="150"/>
      <c r="BB203" s="150"/>
      <c r="BC203" s="150"/>
      <c r="BD203" s="150"/>
      <c r="BE203" s="150"/>
      <c r="BF203" s="150"/>
      <c r="BG203" s="150"/>
      <c r="BH203" s="150"/>
      <c r="BI203" s="150"/>
      <c r="BJ203" s="150"/>
      <c r="BK203" s="150"/>
    </row>
    <row r="204" spans="53:63" x14ac:dyDescent="0.2">
      <c r="BA204" s="150"/>
      <c r="BB204" s="150"/>
      <c r="BC204" s="150"/>
      <c r="BD204" s="150"/>
      <c r="BE204" s="150"/>
      <c r="BF204" s="150"/>
      <c r="BG204" s="150"/>
      <c r="BH204" s="150"/>
      <c r="BI204" s="150"/>
      <c r="BJ204" s="150"/>
      <c r="BK204" s="150"/>
    </row>
    <row r="205" spans="53:63" x14ac:dyDescent="0.2">
      <c r="BA205" s="150"/>
      <c r="BB205" s="150"/>
      <c r="BC205" s="150"/>
      <c r="BD205" s="150"/>
      <c r="BE205" s="150"/>
      <c r="BF205" s="150"/>
      <c r="BG205" s="150"/>
      <c r="BH205" s="150"/>
      <c r="BI205" s="150"/>
      <c r="BJ205" s="150"/>
      <c r="BK205" s="150"/>
    </row>
    <row r="206" spans="53:63" x14ac:dyDescent="0.2">
      <c r="BA206" s="150"/>
      <c r="BB206" s="150"/>
      <c r="BC206" s="150"/>
      <c r="BD206" s="150"/>
      <c r="BE206" s="150"/>
      <c r="BF206" s="150"/>
      <c r="BG206" s="150"/>
      <c r="BH206" s="150"/>
      <c r="BI206" s="150"/>
      <c r="BJ206" s="150"/>
      <c r="BK206" s="150"/>
    </row>
    <row r="207" spans="53:63" x14ac:dyDescent="0.2">
      <c r="BA207" s="150"/>
      <c r="BB207" s="150"/>
      <c r="BC207" s="150"/>
      <c r="BD207" s="150"/>
      <c r="BE207" s="150"/>
      <c r="BF207" s="150"/>
      <c r="BG207" s="150"/>
      <c r="BH207" s="150"/>
      <c r="BI207" s="150"/>
      <c r="BJ207" s="150"/>
      <c r="BK207" s="150"/>
    </row>
    <row r="208" spans="53:63" x14ac:dyDescent="0.2">
      <c r="BA208" s="150"/>
      <c r="BB208" s="150"/>
      <c r="BC208" s="150"/>
      <c r="BD208" s="150"/>
      <c r="BE208" s="150"/>
      <c r="BF208" s="150"/>
      <c r="BG208" s="150"/>
      <c r="BH208" s="150"/>
      <c r="BI208" s="150"/>
      <c r="BJ208" s="150"/>
      <c r="BK208" s="150"/>
    </row>
    <row r="209" spans="53:63" x14ac:dyDescent="0.2">
      <c r="BA209" s="150"/>
      <c r="BB209" s="150"/>
      <c r="BC209" s="150"/>
      <c r="BD209" s="150"/>
      <c r="BE209" s="150"/>
      <c r="BF209" s="150"/>
      <c r="BG209" s="150"/>
      <c r="BH209" s="150"/>
      <c r="BI209" s="150"/>
      <c r="BJ209" s="150"/>
      <c r="BK209" s="150"/>
    </row>
    <row r="210" spans="53:63" x14ac:dyDescent="0.2">
      <c r="BA210" s="150"/>
      <c r="BB210" s="150"/>
      <c r="BC210" s="150"/>
      <c r="BD210" s="150"/>
      <c r="BE210" s="150"/>
      <c r="BF210" s="150"/>
      <c r="BG210" s="150"/>
      <c r="BH210" s="150"/>
      <c r="BI210" s="150"/>
      <c r="BJ210" s="150"/>
      <c r="BK210" s="150"/>
    </row>
    <row r="211" spans="53:63" x14ac:dyDescent="0.2">
      <c r="BA211" s="150"/>
      <c r="BB211" s="150"/>
      <c r="BC211" s="150"/>
      <c r="BD211" s="150"/>
      <c r="BE211" s="150"/>
      <c r="BF211" s="150"/>
      <c r="BG211" s="150"/>
      <c r="BH211" s="150"/>
      <c r="BI211" s="150"/>
      <c r="BJ211" s="150"/>
      <c r="BK211" s="150"/>
    </row>
    <row r="212" spans="53:63" x14ac:dyDescent="0.2">
      <c r="BA212" s="150"/>
      <c r="BB212" s="150"/>
      <c r="BC212" s="150"/>
      <c r="BD212" s="150"/>
      <c r="BE212" s="150"/>
      <c r="BF212" s="150"/>
      <c r="BG212" s="150"/>
      <c r="BH212" s="150"/>
      <c r="BI212" s="150"/>
      <c r="BJ212" s="150"/>
      <c r="BK212" s="150"/>
    </row>
    <row r="213" spans="53:63" x14ac:dyDescent="0.2">
      <c r="BA213" s="150"/>
      <c r="BB213" s="150"/>
      <c r="BC213" s="150"/>
      <c r="BD213" s="150"/>
      <c r="BE213" s="150"/>
      <c r="BF213" s="150"/>
      <c r="BG213" s="150"/>
      <c r="BH213" s="150"/>
      <c r="BI213" s="150"/>
      <c r="BJ213" s="150"/>
      <c r="BK213" s="150"/>
    </row>
    <row r="214" spans="53:63" x14ac:dyDescent="0.2">
      <c r="BA214" s="150"/>
      <c r="BB214" s="150"/>
      <c r="BC214" s="150"/>
      <c r="BD214" s="150"/>
      <c r="BE214" s="150"/>
      <c r="BF214" s="150"/>
      <c r="BG214" s="150"/>
      <c r="BH214" s="150"/>
      <c r="BI214" s="150"/>
      <c r="BJ214" s="150"/>
      <c r="BK214" s="150"/>
    </row>
    <row r="215" spans="53:63" x14ac:dyDescent="0.2">
      <c r="BA215" s="150"/>
      <c r="BB215" s="150"/>
      <c r="BC215" s="150"/>
      <c r="BD215" s="150"/>
      <c r="BE215" s="150"/>
      <c r="BF215" s="150"/>
      <c r="BG215" s="150"/>
      <c r="BH215" s="150"/>
      <c r="BI215" s="150"/>
      <c r="BJ215" s="150"/>
      <c r="BK215" s="150"/>
    </row>
    <row r="216" spans="53:63" x14ac:dyDescent="0.2">
      <c r="BA216" s="150"/>
      <c r="BB216" s="150"/>
      <c r="BC216" s="150"/>
      <c r="BD216" s="150"/>
      <c r="BE216" s="150"/>
      <c r="BF216" s="150"/>
      <c r="BG216" s="150"/>
      <c r="BH216" s="150"/>
      <c r="BI216" s="150"/>
      <c r="BJ216" s="150"/>
      <c r="BK216" s="150"/>
    </row>
    <row r="217" spans="53:63" x14ac:dyDescent="0.2">
      <c r="BA217" s="150"/>
      <c r="BB217" s="150"/>
      <c r="BC217" s="150"/>
      <c r="BD217" s="150"/>
      <c r="BE217" s="150"/>
      <c r="BF217" s="150"/>
      <c r="BG217" s="150"/>
      <c r="BH217" s="150"/>
      <c r="BI217" s="150"/>
      <c r="BJ217" s="150"/>
      <c r="BK217" s="150"/>
    </row>
    <row r="218" spans="53:63" x14ac:dyDescent="0.2">
      <c r="BA218" s="150"/>
      <c r="BB218" s="150"/>
      <c r="BC218" s="150"/>
      <c r="BD218" s="150"/>
      <c r="BE218" s="150"/>
      <c r="BF218" s="150"/>
      <c r="BG218" s="150"/>
      <c r="BH218" s="150"/>
      <c r="BI218" s="150"/>
      <c r="BJ218" s="150"/>
      <c r="BK218" s="150"/>
    </row>
    <row r="219" spans="53:63" x14ac:dyDescent="0.2">
      <c r="BA219" s="150"/>
      <c r="BB219" s="150"/>
      <c r="BC219" s="150"/>
      <c r="BD219" s="150"/>
      <c r="BE219" s="150"/>
      <c r="BF219" s="150"/>
      <c r="BG219" s="150"/>
      <c r="BH219" s="150"/>
      <c r="BI219" s="150"/>
      <c r="BJ219" s="150"/>
      <c r="BK219" s="150"/>
    </row>
    <row r="220" spans="53:63" x14ac:dyDescent="0.2">
      <c r="BA220" s="150"/>
      <c r="BB220" s="150"/>
      <c r="BC220" s="150"/>
      <c r="BD220" s="150"/>
      <c r="BE220" s="150"/>
      <c r="BF220" s="150"/>
      <c r="BG220" s="150"/>
      <c r="BH220" s="150"/>
      <c r="BI220" s="150"/>
      <c r="BJ220" s="150"/>
      <c r="BK220" s="150"/>
    </row>
    <row r="221" spans="53:63" x14ac:dyDescent="0.2">
      <c r="BA221" s="150"/>
      <c r="BB221" s="150"/>
      <c r="BC221" s="150"/>
      <c r="BD221" s="150"/>
      <c r="BE221" s="150"/>
      <c r="BF221" s="150"/>
      <c r="BG221" s="150"/>
      <c r="BH221" s="150"/>
      <c r="BI221" s="150"/>
      <c r="BJ221" s="150"/>
      <c r="BK221" s="150"/>
    </row>
    <row r="222" spans="53:63" x14ac:dyDescent="0.2">
      <c r="BA222" s="150"/>
      <c r="BB222" s="150"/>
      <c r="BC222" s="150"/>
      <c r="BD222" s="150"/>
      <c r="BE222" s="150"/>
      <c r="BF222" s="150"/>
      <c r="BG222" s="150"/>
      <c r="BH222" s="150"/>
      <c r="BI222" s="150"/>
      <c r="BJ222" s="150"/>
      <c r="BK222" s="150"/>
    </row>
    <row r="223" spans="53:63" x14ac:dyDescent="0.2">
      <c r="BA223" s="150"/>
      <c r="BB223" s="150"/>
      <c r="BC223" s="150"/>
      <c r="BD223" s="150"/>
      <c r="BE223" s="150"/>
      <c r="BF223" s="150"/>
      <c r="BG223" s="150"/>
      <c r="BH223" s="150"/>
      <c r="BI223" s="150"/>
      <c r="BJ223" s="150"/>
      <c r="BK223" s="150"/>
    </row>
    <row r="224" spans="53:63" x14ac:dyDescent="0.2">
      <c r="BA224" s="150"/>
      <c r="BB224" s="150"/>
      <c r="BC224" s="150"/>
      <c r="BD224" s="150"/>
      <c r="BE224" s="150"/>
      <c r="BF224" s="150"/>
      <c r="BG224" s="150"/>
      <c r="BH224" s="150"/>
      <c r="BI224" s="150"/>
      <c r="BJ224" s="150"/>
      <c r="BK224" s="150"/>
    </row>
    <row r="225" spans="53:63" x14ac:dyDescent="0.2">
      <c r="BA225" s="150"/>
      <c r="BB225" s="150"/>
      <c r="BC225" s="150"/>
      <c r="BD225" s="150"/>
      <c r="BE225" s="150"/>
      <c r="BF225" s="150"/>
      <c r="BG225" s="150"/>
      <c r="BH225" s="150"/>
      <c r="BI225" s="150"/>
      <c r="BJ225" s="150"/>
      <c r="BK225" s="150"/>
    </row>
    <row r="226" spans="53:63" x14ac:dyDescent="0.2">
      <c r="BA226" s="150"/>
      <c r="BB226" s="150"/>
      <c r="BC226" s="150"/>
      <c r="BD226" s="150"/>
      <c r="BE226" s="150"/>
      <c r="BF226" s="150"/>
      <c r="BG226" s="150"/>
      <c r="BH226" s="150"/>
      <c r="BI226" s="150"/>
      <c r="BJ226" s="150"/>
      <c r="BK226" s="150"/>
    </row>
    <row r="227" spans="53:63" x14ac:dyDescent="0.2">
      <c r="BA227" s="150"/>
      <c r="BB227" s="150"/>
      <c r="BC227" s="150"/>
      <c r="BD227" s="150"/>
      <c r="BE227" s="150"/>
      <c r="BF227" s="150"/>
      <c r="BG227" s="150"/>
      <c r="BH227" s="150"/>
      <c r="BI227" s="150"/>
      <c r="BJ227" s="150"/>
      <c r="BK227" s="150"/>
    </row>
    <row r="228" spans="53:63" x14ac:dyDescent="0.2">
      <c r="BA228" s="150"/>
      <c r="BB228" s="150"/>
      <c r="BC228" s="150"/>
      <c r="BD228" s="150"/>
      <c r="BE228" s="150"/>
      <c r="BF228" s="150"/>
      <c r="BG228" s="150"/>
      <c r="BH228" s="150"/>
      <c r="BI228" s="150"/>
      <c r="BJ228" s="150"/>
      <c r="BK228" s="150"/>
    </row>
    <row r="229" spans="53:63" x14ac:dyDescent="0.2">
      <c r="BA229" s="150"/>
      <c r="BB229" s="150"/>
      <c r="BC229" s="150"/>
      <c r="BD229" s="150"/>
      <c r="BE229" s="150"/>
      <c r="BF229" s="150"/>
      <c r="BG229" s="150"/>
      <c r="BH229" s="150"/>
      <c r="BI229" s="150"/>
      <c r="BJ229" s="150"/>
      <c r="BK229" s="150"/>
    </row>
    <row r="230" spans="53:63" x14ac:dyDescent="0.2">
      <c r="BA230" s="150"/>
      <c r="BB230" s="150"/>
      <c r="BC230" s="150"/>
      <c r="BD230" s="150"/>
      <c r="BE230" s="150"/>
      <c r="BF230" s="150"/>
      <c r="BG230" s="150"/>
      <c r="BH230" s="150"/>
      <c r="BI230" s="150"/>
      <c r="BJ230" s="150"/>
      <c r="BK230" s="150"/>
    </row>
    <row r="231" spans="53:63" x14ac:dyDescent="0.2">
      <c r="BA231" s="150"/>
      <c r="BB231" s="150"/>
      <c r="BC231" s="150"/>
      <c r="BD231" s="150"/>
      <c r="BE231" s="150"/>
      <c r="BF231" s="150"/>
      <c r="BG231" s="150"/>
      <c r="BH231" s="150"/>
      <c r="BI231" s="150"/>
      <c r="BJ231" s="150"/>
      <c r="BK231" s="150"/>
    </row>
    <row r="232" spans="53:63" x14ac:dyDescent="0.2">
      <c r="BA232" s="150"/>
      <c r="BB232" s="150"/>
      <c r="BC232" s="150"/>
      <c r="BD232" s="150"/>
      <c r="BE232" s="150"/>
      <c r="BF232" s="150"/>
      <c r="BG232" s="150"/>
      <c r="BH232" s="150"/>
      <c r="BI232" s="150"/>
      <c r="BJ232" s="150"/>
      <c r="BK232" s="150"/>
    </row>
    <row r="233" spans="53:63" x14ac:dyDescent="0.2">
      <c r="BA233" s="150"/>
      <c r="BB233" s="150"/>
      <c r="BC233" s="150"/>
      <c r="BD233" s="150"/>
      <c r="BE233" s="150"/>
      <c r="BF233" s="150"/>
      <c r="BG233" s="150"/>
      <c r="BH233" s="150"/>
      <c r="BI233" s="150"/>
      <c r="BJ233" s="150"/>
      <c r="BK233" s="150"/>
    </row>
  </sheetData>
  <mergeCells count="57">
    <mergeCell ref="BP2:BP3"/>
    <mergeCell ref="AQ2:AQ3"/>
    <mergeCell ref="AS2:AU2"/>
    <mergeCell ref="BN2:BN3"/>
    <mergeCell ref="AV2:AX2"/>
    <mergeCell ref="BJ2:BK2"/>
    <mergeCell ref="AR2:AR3"/>
    <mergeCell ref="BC2:BD2"/>
    <mergeCell ref="BH2:BI2"/>
    <mergeCell ref="BE2:BG2"/>
    <mergeCell ref="AY2:AZ2"/>
    <mergeCell ref="BA2:BB2"/>
    <mergeCell ref="BM2:BM3"/>
    <mergeCell ref="BO2:BO3"/>
    <mergeCell ref="U2:AB2"/>
    <mergeCell ref="AP2:AP3"/>
    <mergeCell ref="AI2:AI3"/>
    <mergeCell ref="AJ2:AJ3"/>
    <mergeCell ref="AK2:AK3"/>
    <mergeCell ref="AL2:AL3"/>
    <mergeCell ref="AM2:AM3"/>
    <mergeCell ref="AO2:AO3"/>
    <mergeCell ref="AF2:AF3"/>
    <mergeCell ref="AG2:AG3"/>
    <mergeCell ref="AH2:AH3"/>
    <mergeCell ref="AN2:AN3"/>
    <mergeCell ref="AE2:AE3"/>
    <mergeCell ref="AD2:AD3"/>
    <mergeCell ref="AC2:AC3"/>
    <mergeCell ref="A2:A3"/>
    <mergeCell ref="B2:B3"/>
    <mergeCell ref="C2:C3"/>
    <mergeCell ref="G2:G3"/>
    <mergeCell ref="H2:H3"/>
    <mergeCell ref="D2:E2"/>
    <mergeCell ref="F2:F3"/>
    <mergeCell ref="AP1:BK1"/>
    <mergeCell ref="BL1:BP1"/>
    <mergeCell ref="I2:I3"/>
    <mergeCell ref="J2:J3"/>
    <mergeCell ref="K2:K3"/>
    <mergeCell ref="AH1:AO1"/>
    <mergeCell ref="S2:S3"/>
    <mergeCell ref="T2:T3"/>
    <mergeCell ref="L2:L3"/>
    <mergeCell ref="N2:N3"/>
    <mergeCell ref="O2:O3"/>
    <mergeCell ref="P2:P3"/>
    <mergeCell ref="Q2:Q3"/>
    <mergeCell ref="R2:R3"/>
    <mergeCell ref="M2:M3"/>
    <mergeCell ref="BL2:BL3"/>
    <mergeCell ref="A1:F1"/>
    <mergeCell ref="G1:O1"/>
    <mergeCell ref="P1:AB1"/>
    <mergeCell ref="AC1:AE1"/>
    <mergeCell ref="AF1:AG1"/>
  </mergeCells>
  <phoneticPr fontId="2" type="noConversion"/>
  <dataValidations count="7">
    <dataValidation type="list" allowBlank="1" showInputMessage="1" showErrorMessage="1" sqref="H4:H17 H19:H33 H38:H1048576" xr:uid="{BC623E59-8668-7546-91DC-A2B8E707251E}">
      <formula1>"Statique, Mixte, Dynamique"</formula1>
    </dataValidation>
    <dataValidation type="list" allowBlank="1" showInputMessage="1" showErrorMessage="1" sqref="AH4:AH17 AH19:AH33 AH38:AH1048576" xr:uid="{A7E6B0B9-199E-D44D-8721-B4A8436A53B6}">
      <formula1>"Annuelle, occsionnelle, Frequente"</formula1>
    </dataValidation>
    <dataValidation type="list" allowBlank="1" showInputMessage="1" showErrorMessage="1" sqref="AP4:AP17 AP19:AP33 AP38:AP1048576" xr:uid="{EBDF8E9C-B800-6E43-9C2A-0DA17B753019}">
      <formula1>"Individuelle, Mixte, Collectif"</formula1>
    </dataValidation>
    <dataValidation type="list" allowBlank="1" showInputMessage="1" showErrorMessage="1" sqref="AR4:AR17 AR19:AR33 AR38:AR1048576" xr:uid="{605843EF-A768-0B47-9B17-26769DAA5C10}">
      <formula1>"DASRI, Autre"</formula1>
    </dataValidation>
    <dataValidation type="list" allowBlank="1" showInputMessage="1" showErrorMessage="1" sqref="AC4:AD17 AC19:AD33 AC38:AD1048576" xr:uid="{09B496B3-7959-2742-91A7-844E17290643}">
      <formula1>"Oui, Partiel, Non"</formula1>
    </dataValidation>
    <dataValidation type="list" allowBlank="1" showInputMessage="1" showErrorMessage="1" sqref="AQ4:AQ17 AQ19:AQ33 AQ38:AQ1048576" xr:uid="{2C5A3DC7-016A-DE4A-A947-60ED8B021E0E}">
      <formula1>"'1,'2 à 3,'+3"</formula1>
    </dataValidation>
    <dataValidation type="list" allowBlank="1" showInputMessage="1" showErrorMessage="1" sqref="I2:I1048576" xr:uid="{78DCC0F6-335F-2B4B-933C-1A0DB5535CA5}">
      <formula1>"Naisseur-engraisseur, Multiplicateur, Insémination"</formula1>
    </dataValidation>
  </dataValidations>
  <pageMargins left="0.78740157499999996" right="0.78740157499999996" top="0.984251969" bottom="0.984251969" header="0.4921259845" footer="0.492125984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E974-EF95-EE4B-AC5F-C328058A08CD}">
  <sheetPr codeName="Feuil3"/>
  <dimension ref="A1:N179"/>
  <sheetViews>
    <sheetView zoomScale="78" zoomScaleNormal="50" workbookViewId="0">
      <pane xSplit="1" ySplit="1" topLeftCell="B29" activePane="bottomRight" state="frozen"/>
      <selection pane="topRight" activeCell="B1" sqref="B1"/>
      <selection pane="bottomLeft" activeCell="A2" sqref="A2"/>
      <selection pane="bottomRight" activeCell="C40" sqref="C40"/>
    </sheetView>
  </sheetViews>
  <sheetFormatPr baseColWidth="10" defaultColWidth="11.5" defaultRowHeight="15" x14ac:dyDescent="0.2"/>
  <cols>
    <col min="1" max="1" width="42.5" style="4" bestFit="1" customWidth="1"/>
    <col min="2" max="2" width="12.5" style="4" customWidth="1"/>
    <col min="3" max="3" width="22.5" style="4" customWidth="1"/>
    <col min="4" max="4" width="14.83203125" style="4" customWidth="1"/>
    <col min="5" max="5" width="35" style="4" customWidth="1"/>
    <col min="6" max="6" width="15.5" style="4" customWidth="1"/>
    <col min="7" max="7" width="11.5" style="4"/>
    <col min="8" max="8" width="13.5" style="4" customWidth="1"/>
    <col min="9" max="9" width="15" style="4" customWidth="1"/>
    <col min="10" max="10" width="18.5" style="4" customWidth="1"/>
    <col min="11" max="11" width="19.1640625" style="4" customWidth="1"/>
    <col min="12" max="12" width="33.5" style="4" customWidth="1"/>
    <col min="13" max="16384" width="11.5" style="4"/>
  </cols>
  <sheetData>
    <row r="1" spans="1:14" ht="240" customHeight="1" x14ac:dyDescent="0.2">
      <c r="A1" s="52" t="s">
        <v>922</v>
      </c>
      <c r="B1" s="72" t="s">
        <v>921</v>
      </c>
      <c r="C1" s="52" t="s">
        <v>920</v>
      </c>
      <c r="D1" s="52" t="s">
        <v>919</v>
      </c>
      <c r="E1" s="52" t="s">
        <v>918</v>
      </c>
      <c r="F1" s="52" t="s">
        <v>917</v>
      </c>
      <c r="G1" s="52" t="s">
        <v>916</v>
      </c>
      <c r="H1" s="52" t="s">
        <v>915</v>
      </c>
      <c r="I1" s="52" t="s">
        <v>914</v>
      </c>
      <c r="J1" s="52" t="s">
        <v>913</v>
      </c>
      <c r="K1" s="71" t="s">
        <v>912</v>
      </c>
      <c r="L1" s="71" t="s">
        <v>911</v>
      </c>
    </row>
    <row r="2" spans="1:14" ht="30" x14ac:dyDescent="0.2">
      <c r="A2" s="12" t="s">
        <v>910</v>
      </c>
      <c r="B2" s="17" t="s">
        <v>77</v>
      </c>
      <c r="C2" s="28" t="s">
        <v>38</v>
      </c>
      <c r="D2" s="12">
        <v>98312200</v>
      </c>
      <c r="E2" s="12" t="s">
        <v>909</v>
      </c>
      <c r="F2" s="12" t="s">
        <v>908</v>
      </c>
      <c r="G2" s="12" t="s">
        <v>129</v>
      </c>
      <c r="H2" s="12" t="s">
        <v>38</v>
      </c>
      <c r="I2" s="12" t="s">
        <v>907</v>
      </c>
      <c r="J2" s="12" t="s">
        <v>906</v>
      </c>
      <c r="K2" s="11"/>
      <c r="L2" s="11" t="s">
        <v>905</v>
      </c>
      <c r="N2" s="15"/>
    </row>
    <row r="3" spans="1:14" ht="30" x14ac:dyDescent="0.2">
      <c r="A3" s="70" t="s">
        <v>904</v>
      </c>
      <c r="B3" s="13" t="s">
        <v>66</v>
      </c>
      <c r="C3" s="28" t="s">
        <v>38</v>
      </c>
      <c r="D3" s="12">
        <v>98012239</v>
      </c>
      <c r="E3" s="12" t="s">
        <v>903</v>
      </c>
      <c r="F3" s="12"/>
      <c r="G3" s="12">
        <v>97480</v>
      </c>
      <c r="H3" s="12" t="s">
        <v>38</v>
      </c>
      <c r="I3" s="12"/>
      <c r="J3" s="12" t="s">
        <v>902</v>
      </c>
      <c r="K3" s="11"/>
      <c r="L3" s="6" t="s">
        <v>901</v>
      </c>
    </row>
    <row r="4" spans="1:14" x14ac:dyDescent="0.2">
      <c r="A4" s="12" t="s">
        <v>900</v>
      </c>
      <c r="B4" s="17" t="s">
        <v>77</v>
      </c>
      <c r="C4" s="16" t="s">
        <v>76</v>
      </c>
      <c r="D4" s="12">
        <v>98001058</v>
      </c>
      <c r="E4" s="12" t="s">
        <v>899</v>
      </c>
      <c r="F4" s="12" t="s">
        <v>74</v>
      </c>
      <c r="G4" s="12" t="s">
        <v>73</v>
      </c>
      <c r="H4" s="12" t="s">
        <v>72</v>
      </c>
      <c r="I4" s="12"/>
      <c r="J4" s="12" t="s">
        <v>898</v>
      </c>
      <c r="K4" s="11"/>
      <c r="L4" s="11" t="s">
        <v>897</v>
      </c>
    </row>
    <row r="5" spans="1:14" ht="30" x14ac:dyDescent="0.2">
      <c r="A5" s="6" t="s">
        <v>896</v>
      </c>
      <c r="B5" s="6" t="s">
        <v>66</v>
      </c>
      <c r="C5" s="19" t="s">
        <v>82</v>
      </c>
      <c r="D5" s="6"/>
      <c r="E5" s="6" t="s">
        <v>895</v>
      </c>
      <c r="F5" s="6"/>
      <c r="G5" s="9">
        <v>97432</v>
      </c>
      <c r="H5" s="9" t="s">
        <v>408</v>
      </c>
      <c r="I5" s="9"/>
      <c r="J5" s="6" t="s">
        <v>894</v>
      </c>
      <c r="K5" s="6"/>
      <c r="L5" s="6"/>
      <c r="M5" s="48"/>
    </row>
    <row r="6" spans="1:14" ht="30" x14ac:dyDescent="0.2">
      <c r="A6" s="12" t="s">
        <v>893</v>
      </c>
      <c r="B6" s="13" t="s">
        <v>66</v>
      </c>
      <c r="C6" s="7" t="s">
        <v>51</v>
      </c>
      <c r="D6" s="12">
        <v>98022662</v>
      </c>
      <c r="E6" s="12" t="s">
        <v>892</v>
      </c>
      <c r="F6" s="12" t="s">
        <v>891</v>
      </c>
      <c r="G6" s="12">
        <v>97430</v>
      </c>
      <c r="H6" s="12" t="s">
        <v>49</v>
      </c>
      <c r="I6" s="12"/>
      <c r="J6" s="12"/>
      <c r="K6" s="11"/>
      <c r="L6" s="11"/>
    </row>
    <row r="7" spans="1:14" ht="30" x14ac:dyDescent="0.2">
      <c r="A7" s="68" t="s">
        <v>890</v>
      </c>
      <c r="B7" s="69" t="s">
        <v>77</v>
      </c>
      <c r="C7" s="68" t="s">
        <v>38</v>
      </c>
      <c r="D7" s="68"/>
      <c r="E7" s="68" t="s">
        <v>889</v>
      </c>
      <c r="F7" s="68" t="s">
        <v>224</v>
      </c>
      <c r="G7" s="68" t="s">
        <v>129</v>
      </c>
      <c r="H7" s="68" t="s">
        <v>38</v>
      </c>
      <c r="I7" s="68" t="s">
        <v>888</v>
      </c>
      <c r="J7" s="68" t="s">
        <v>887</v>
      </c>
      <c r="K7" s="67"/>
      <c r="L7" s="67" t="s">
        <v>886</v>
      </c>
      <c r="N7" s="15"/>
    </row>
    <row r="8" spans="1:14" x14ac:dyDescent="0.2">
      <c r="A8" s="44" t="s">
        <v>885</v>
      </c>
      <c r="B8" s="17" t="s">
        <v>77</v>
      </c>
      <c r="C8" s="22" t="s">
        <v>105</v>
      </c>
      <c r="D8" s="12">
        <v>98021656</v>
      </c>
      <c r="E8" s="12" t="s">
        <v>884</v>
      </c>
      <c r="F8" s="12" t="s">
        <v>106</v>
      </c>
      <c r="G8" s="12" t="s">
        <v>111</v>
      </c>
      <c r="H8" s="12" t="s">
        <v>105</v>
      </c>
      <c r="I8" s="12" t="s">
        <v>883</v>
      </c>
      <c r="J8" s="12" t="s">
        <v>882</v>
      </c>
      <c r="K8" s="11"/>
      <c r="L8" s="11" t="s">
        <v>881</v>
      </c>
    </row>
    <row r="9" spans="1:14" ht="30" x14ac:dyDescent="0.2">
      <c r="A9" s="12" t="s">
        <v>880</v>
      </c>
      <c r="B9" s="17" t="s">
        <v>77</v>
      </c>
      <c r="C9" s="28" t="s">
        <v>38</v>
      </c>
      <c r="D9" s="12"/>
      <c r="E9" s="12" t="s">
        <v>879</v>
      </c>
      <c r="F9" s="12" t="s">
        <v>878</v>
      </c>
      <c r="G9" s="12" t="s">
        <v>129</v>
      </c>
      <c r="H9" s="12" t="s">
        <v>38</v>
      </c>
      <c r="I9" s="12" t="s">
        <v>877</v>
      </c>
      <c r="J9" s="12" t="s">
        <v>876</v>
      </c>
      <c r="K9" s="11"/>
      <c r="L9" s="11"/>
    </row>
    <row r="10" spans="1:14" x14ac:dyDescent="0.2">
      <c r="A10" s="11" t="s">
        <v>875</v>
      </c>
      <c r="B10" s="40" t="s">
        <v>52</v>
      </c>
      <c r="C10" s="16" t="s">
        <v>76</v>
      </c>
      <c r="D10" s="9">
        <v>98001067</v>
      </c>
      <c r="E10" s="6" t="s">
        <v>874</v>
      </c>
      <c r="F10" s="9"/>
      <c r="G10" s="9">
        <v>97425</v>
      </c>
      <c r="H10" s="9" t="s">
        <v>72</v>
      </c>
      <c r="I10" s="9"/>
      <c r="J10" s="6" t="s">
        <v>873</v>
      </c>
      <c r="K10" s="9"/>
      <c r="L10" s="18"/>
    </row>
    <row r="11" spans="1:14" ht="30" x14ac:dyDescent="0.2">
      <c r="A11" s="12" t="s">
        <v>872</v>
      </c>
      <c r="B11" s="17" t="s">
        <v>77</v>
      </c>
      <c r="C11" s="31" t="s">
        <v>156</v>
      </c>
      <c r="D11" s="12">
        <v>98009108</v>
      </c>
      <c r="E11" s="12" t="s">
        <v>871</v>
      </c>
      <c r="F11" s="12" t="s">
        <v>74</v>
      </c>
      <c r="G11" s="12" t="s">
        <v>479</v>
      </c>
      <c r="H11" s="12" t="s">
        <v>185</v>
      </c>
      <c r="I11" s="12" t="s">
        <v>870</v>
      </c>
      <c r="J11" s="12" t="s">
        <v>869</v>
      </c>
      <c r="K11" s="11"/>
      <c r="L11" s="11" t="s">
        <v>868</v>
      </c>
    </row>
    <row r="12" spans="1:14" ht="30" x14ac:dyDescent="0.2">
      <c r="A12" s="34" t="s">
        <v>867</v>
      </c>
      <c r="B12" s="41" t="s">
        <v>77</v>
      </c>
      <c r="C12" s="34" t="s">
        <v>38</v>
      </c>
      <c r="D12" s="34">
        <v>98012069</v>
      </c>
      <c r="E12" s="34" t="s">
        <v>866</v>
      </c>
      <c r="F12" s="34" t="s">
        <v>865</v>
      </c>
      <c r="G12" s="34" t="s">
        <v>129</v>
      </c>
      <c r="H12" s="34" t="s">
        <v>38</v>
      </c>
      <c r="I12" s="34" t="s">
        <v>864</v>
      </c>
      <c r="J12" s="34" t="s">
        <v>863</v>
      </c>
      <c r="K12" s="33"/>
      <c r="L12" s="33"/>
    </row>
    <row r="13" spans="1:14" ht="30" x14ac:dyDescent="0.2">
      <c r="A13" s="12" t="s">
        <v>862</v>
      </c>
      <c r="B13" s="17" t="s">
        <v>77</v>
      </c>
      <c r="C13" s="28" t="s">
        <v>38</v>
      </c>
      <c r="D13" s="12">
        <v>98012003</v>
      </c>
      <c r="E13" s="12" t="s">
        <v>861</v>
      </c>
      <c r="F13" s="12" t="s">
        <v>74</v>
      </c>
      <c r="G13" s="12" t="s">
        <v>129</v>
      </c>
      <c r="H13" s="12" t="s">
        <v>38</v>
      </c>
      <c r="I13" s="12" t="s">
        <v>860</v>
      </c>
      <c r="J13" s="12" t="s">
        <v>859</v>
      </c>
      <c r="K13" s="11"/>
      <c r="L13" s="11" t="s">
        <v>858</v>
      </c>
      <c r="N13" s="15"/>
    </row>
    <row r="14" spans="1:14" ht="30" x14ac:dyDescent="0.2">
      <c r="A14" s="12" t="s">
        <v>857</v>
      </c>
      <c r="B14" s="13" t="s">
        <v>66</v>
      </c>
      <c r="C14" s="28" t="s">
        <v>38</v>
      </c>
      <c r="D14" s="12">
        <v>98212027</v>
      </c>
      <c r="E14" s="12" t="s">
        <v>855</v>
      </c>
      <c r="F14" s="12"/>
      <c r="G14" s="12">
        <v>97480</v>
      </c>
      <c r="H14" s="12" t="s">
        <v>38</v>
      </c>
      <c r="I14" s="12" t="s">
        <v>854</v>
      </c>
      <c r="J14" s="12" t="s">
        <v>853</v>
      </c>
      <c r="K14" s="11" t="s">
        <v>852</v>
      </c>
      <c r="L14" s="11" t="s">
        <v>851</v>
      </c>
      <c r="N14" s="15"/>
    </row>
    <row r="15" spans="1:14" ht="30" x14ac:dyDescent="0.2">
      <c r="A15" s="12" t="s">
        <v>856</v>
      </c>
      <c r="B15" s="13" t="s">
        <v>66</v>
      </c>
      <c r="C15" s="28" t="s">
        <v>38</v>
      </c>
      <c r="D15" s="12">
        <v>98212027</v>
      </c>
      <c r="E15" s="12" t="s">
        <v>855</v>
      </c>
      <c r="F15" s="12"/>
      <c r="G15" s="12">
        <v>97480</v>
      </c>
      <c r="H15" s="12" t="s">
        <v>38</v>
      </c>
      <c r="I15" s="12" t="s">
        <v>854</v>
      </c>
      <c r="J15" s="12" t="s">
        <v>853</v>
      </c>
      <c r="K15" s="11" t="s">
        <v>852</v>
      </c>
      <c r="L15" s="11" t="s">
        <v>851</v>
      </c>
      <c r="N15" s="15"/>
    </row>
    <row r="16" spans="1:14" x14ac:dyDescent="0.2">
      <c r="A16" s="44" t="s">
        <v>850</v>
      </c>
      <c r="B16" s="17" t="s">
        <v>77</v>
      </c>
      <c r="C16" s="22" t="s">
        <v>105</v>
      </c>
      <c r="D16" s="12">
        <v>98121090</v>
      </c>
      <c r="E16" s="12" t="s">
        <v>849</v>
      </c>
      <c r="F16" s="12" t="s">
        <v>848</v>
      </c>
      <c r="G16" s="12" t="s">
        <v>111</v>
      </c>
      <c r="H16" s="12" t="s">
        <v>105</v>
      </c>
      <c r="I16" s="12" t="s">
        <v>847</v>
      </c>
      <c r="J16" s="12" t="s">
        <v>846</v>
      </c>
      <c r="K16" s="11"/>
      <c r="L16" s="11"/>
    </row>
    <row r="17" spans="1:14" ht="30" x14ac:dyDescent="0.2">
      <c r="A17" s="12" t="s">
        <v>845</v>
      </c>
      <c r="B17" s="8" t="s">
        <v>52</v>
      </c>
      <c r="C17" s="10" t="s">
        <v>58</v>
      </c>
      <c r="D17" s="14">
        <v>98023181</v>
      </c>
      <c r="E17" s="12" t="s">
        <v>844</v>
      </c>
      <c r="F17" s="12"/>
      <c r="G17" s="12">
        <v>97426</v>
      </c>
      <c r="H17" s="12" t="s">
        <v>56</v>
      </c>
      <c r="I17" s="12" t="s">
        <v>843</v>
      </c>
      <c r="J17" s="12" t="s">
        <v>842</v>
      </c>
      <c r="K17" s="11"/>
      <c r="L17" s="11"/>
      <c r="N17" s="15"/>
    </row>
    <row r="18" spans="1:14" ht="30" x14ac:dyDescent="0.2">
      <c r="A18" s="12" t="s">
        <v>841</v>
      </c>
      <c r="B18" s="8" t="s">
        <v>52</v>
      </c>
      <c r="C18" s="20" t="s">
        <v>91</v>
      </c>
      <c r="D18" s="9">
        <v>98004324</v>
      </c>
      <c r="E18" s="9" t="s">
        <v>840</v>
      </c>
      <c r="F18" s="9"/>
      <c r="G18" s="9">
        <v>97427</v>
      </c>
      <c r="H18" s="9" t="s">
        <v>654</v>
      </c>
      <c r="I18" s="9"/>
      <c r="J18" s="9" t="s">
        <v>839</v>
      </c>
      <c r="K18" s="9"/>
      <c r="L18" s="9"/>
      <c r="N18" s="15"/>
    </row>
    <row r="19" spans="1:14" ht="45" x14ac:dyDescent="0.2">
      <c r="A19" s="12" t="s">
        <v>838</v>
      </c>
      <c r="B19" s="17" t="s">
        <v>77</v>
      </c>
      <c r="C19" s="31" t="s">
        <v>156</v>
      </c>
      <c r="D19" s="12">
        <v>98010107</v>
      </c>
      <c r="E19" s="12" t="s">
        <v>837</v>
      </c>
      <c r="F19" s="12" t="s">
        <v>836</v>
      </c>
      <c r="G19" s="12" t="s">
        <v>835</v>
      </c>
      <c r="H19" s="12" t="s">
        <v>834</v>
      </c>
      <c r="I19" s="12"/>
      <c r="J19" s="12" t="s">
        <v>833</v>
      </c>
      <c r="K19" s="11"/>
      <c r="L19" s="11"/>
    </row>
    <row r="20" spans="1:14" ht="30" x14ac:dyDescent="0.2">
      <c r="A20" s="22" t="s">
        <v>832</v>
      </c>
      <c r="B20" s="23" t="s">
        <v>66</v>
      </c>
      <c r="C20" s="22" t="s">
        <v>105</v>
      </c>
      <c r="D20" s="11">
        <v>98021163</v>
      </c>
      <c r="E20" s="11" t="s">
        <v>831</v>
      </c>
      <c r="F20" s="11" t="s">
        <v>185</v>
      </c>
      <c r="G20" s="11">
        <v>97440</v>
      </c>
      <c r="H20" s="11" t="s">
        <v>105</v>
      </c>
      <c r="I20" s="11"/>
      <c r="J20" s="11" t="s">
        <v>830</v>
      </c>
      <c r="K20" s="11"/>
      <c r="L20" s="11" t="s">
        <v>829</v>
      </c>
      <c r="N20" s="32"/>
    </row>
    <row r="21" spans="1:14" ht="30" x14ac:dyDescent="0.2">
      <c r="A21" s="12" t="s">
        <v>828</v>
      </c>
      <c r="B21" s="47" t="s">
        <v>77</v>
      </c>
      <c r="C21" s="28" t="s">
        <v>38</v>
      </c>
      <c r="D21" s="14">
        <v>98012626</v>
      </c>
      <c r="E21" s="14" t="s">
        <v>827</v>
      </c>
      <c r="F21" s="14" t="s">
        <v>826</v>
      </c>
      <c r="G21" s="14">
        <v>97480</v>
      </c>
      <c r="H21" s="14" t="s">
        <v>38</v>
      </c>
      <c r="I21" s="14"/>
      <c r="J21" s="14" t="s">
        <v>825</v>
      </c>
      <c r="K21" s="37"/>
      <c r="L21" s="11" t="s">
        <v>824</v>
      </c>
    </row>
    <row r="22" spans="1:14" ht="45" x14ac:dyDescent="0.2">
      <c r="A22" s="12" t="s">
        <v>823</v>
      </c>
      <c r="B22" s="17" t="s">
        <v>77</v>
      </c>
      <c r="C22" s="10" t="s">
        <v>58</v>
      </c>
      <c r="D22" s="12">
        <v>98315144</v>
      </c>
      <c r="E22" s="12" t="s">
        <v>822</v>
      </c>
      <c r="F22" s="12" t="s">
        <v>74</v>
      </c>
      <c r="G22" s="12" t="s">
        <v>508</v>
      </c>
      <c r="H22" s="12" t="s">
        <v>507</v>
      </c>
      <c r="I22" s="12" t="s">
        <v>821</v>
      </c>
      <c r="J22" s="12" t="s">
        <v>820</v>
      </c>
      <c r="K22" s="11"/>
      <c r="L22" s="11"/>
    </row>
    <row r="23" spans="1:14" ht="30" x14ac:dyDescent="0.2">
      <c r="A23" s="12" t="s">
        <v>819</v>
      </c>
      <c r="B23" s="17" t="s">
        <v>77</v>
      </c>
      <c r="C23" s="19" t="s">
        <v>82</v>
      </c>
      <c r="D23" s="12">
        <v>98016422</v>
      </c>
      <c r="E23" s="12" t="s">
        <v>818</v>
      </c>
      <c r="F23" s="12" t="s">
        <v>817</v>
      </c>
      <c r="G23" s="12" t="s">
        <v>168</v>
      </c>
      <c r="H23" s="12" t="s">
        <v>45</v>
      </c>
      <c r="I23" s="12" t="s">
        <v>816</v>
      </c>
      <c r="J23" s="12" t="s">
        <v>74</v>
      </c>
      <c r="K23" s="11"/>
      <c r="L23" s="11" t="s">
        <v>815</v>
      </c>
      <c r="N23" s="15"/>
    </row>
    <row r="24" spans="1:14" ht="30" x14ac:dyDescent="0.2">
      <c r="A24" s="12" t="s">
        <v>814</v>
      </c>
      <c r="B24" s="17" t="s">
        <v>77</v>
      </c>
      <c r="C24" s="19" t="s">
        <v>82</v>
      </c>
      <c r="D24" s="12">
        <v>98316177</v>
      </c>
      <c r="E24" s="12" t="s">
        <v>813</v>
      </c>
      <c r="F24" s="12" t="s">
        <v>812</v>
      </c>
      <c r="G24" s="12" t="s">
        <v>641</v>
      </c>
      <c r="H24" s="12" t="s">
        <v>45</v>
      </c>
      <c r="I24" s="12" t="s">
        <v>811</v>
      </c>
      <c r="J24" s="12" t="s">
        <v>811</v>
      </c>
      <c r="K24" s="11"/>
      <c r="L24" s="11"/>
    </row>
    <row r="25" spans="1:14" ht="30" x14ac:dyDescent="0.2">
      <c r="A25" s="6" t="s">
        <v>810</v>
      </c>
      <c r="B25" s="60" t="s">
        <v>52</v>
      </c>
      <c r="C25" s="10" t="s">
        <v>58</v>
      </c>
      <c r="D25" s="6">
        <v>98015061</v>
      </c>
      <c r="E25" s="6" t="s">
        <v>809</v>
      </c>
      <c r="F25" s="6"/>
      <c r="G25" s="6">
        <v>97460</v>
      </c>
      <c r="H25" s="6" t="s">
        <v>808</v>
      </c>
      <c r="I25" s="6"/>
      <c r="J25" s="6" t="s">
        <v>807</v>
      </c>
      <c r="K25" s="6"/>
      <c r="L25" s="6"/>
    </row>
    <row r="26" spans="1:14" ht="30" x14ac:dyDescent="0.2">
      <c r="A26" s="12" t="s">
        <v>806</v>
      </c>
      <c r="B26" s="17" t="s">
        <v>77</v>
      </c>
      <c r="C26" s="10" t="s">
        <v>58</v>
      </c>
      <c r="D26" s="12">
        <v>98715202</v>
      </c>
      <c r="E26" s="12" t="s">
        <v>805</v>
      </c>
      <c r="F26" s="12" t="s">
        <v>74</v>
      </c>
      <c r="G26" s="12" t="s">
        <v>438</v>
      </c>
      <c r="H26" s="12" t="s">
        <v>437</v>
      </c>
      <c r="I26" s="12" t="s">
        <v>804</v>
      </c>
      <c r="J26" s="12" t="s">
        <v>803</v>
      </c>
      <c r="K26" s="11"/>
      <c r="L26" s="11" t="s">
        <v>802</v>
      </c>
    </row>
    <row r="27" spans="1:14" ht="30" x14ac:dyDescent="0.2">
      <c r="A27" s="12" t="s">
        <v>801</v>
      </c>
      <c r="B27" s="8" t="s">
        <v>52</v>
      </c>
      <c r="C27" s="20" t="s">
        <v>91</v>
      </c>
      <c r="D27" s="66">
        <v>98004319</v>
      </c>
      <c r="E27" s="9" t="s">
        <v>800</v>
      </c>
      <c r="F27" s="9"/>
      <c r="G27" s="9">
        <v>97427</v>
      </c>
      <c r="H27" s="9" t="s">
        <v>654</v>
      </c>
      <c r="I27" s="9"/>
      <c r="J27" s="9" t="s">
        <v>799</v>
      </c>
      <c r="K27" s="9"/>
      <c r="L27" s="9"/>
      <c r="N27" s="15"/>
    </row>
    <row r="28" spans="1:14" x14ac:dyDescent="0.2">
      <c r="A28" s="44" t="s">
        <v>798</v>
      </c>
      <c r="B28" s="17" t="s">
        <v>77</v>
      </c>
      <c r="C28" s="22" t="s">
        <v>105</v>
      </c>
      <c r="D28" s="12">
        <v>98021554</v>
      </c>
      <c r="E28" s="12" t="s">
        <v>797</v>
      </c>
      <c r="F28" s="12" t="s">
        <v>106</v>
      </c>
      <c r="G28" s="12" t="s">
        <v>111</v>
      </c>
      <c r="H28" s="12" t="s">
        <v>105</v>
      </c>
      <c r="I28" s="12" t="s">
        <v>796</v>
      </c>
      <c r="J28" s="12" t="s">
        <v>795</v>
      </c>
      <c r="K28" s="11"/>
      <c r="L28" s="11" t="s">
        <v>794</v>
      </c>
    </row>
    <row r="29" spans="1:14" ht="45" x14ac:dyDescent="0.2">
      <c r="A29" s="12" t="s">
        <v>793</v>
      </c>
      <c r="B29" s="17" t="s">
        <v>77</v>
      </c>
      <c r="C29" s="30" t="s">
        <v>140</v>
      </c>
      <c r="D29" s="12">
        <v>98110058</v>
      </c>
      <c r="E29" s="12" t="s">
        <v>792</v>
      </c>
      <c r="F29" s="12" t="s">
        <v>271</v>
      </c>
      <c r="G29" s="12" t="s">
        <v>138</v>
      </c>
      <c r="H29" s="12" t="s">
        <v>137</v>
      </c>
      <c r="I29" s="12" t="s">
        <v>791</v>
      </c>
      <c r="J29" s="12" t="s">
        <v>790</v>
      </c>
      <c r="K29" s="11"/>
      <c r="L29" s="11" t="s">
        <v>789</v>
      </c>
    </row>
    <row r="30" spans="1:14" x14ac:dyDescent="0.2">
      <c r="A30" s="44" t="s">
        <v>788</v>
      </c>
      <c r="B30" s="17" t="s">
        <v>77</v>
      </c>
      <c r="C30" s="22" t="s">
        <v>105</v>
      </c>
      <c r="D30" s="12">
        <v>98021514</v>
      </c>
      <c r="E30" s="12" t="s">
        <v>787</v>
      </c>
      <c r="F30" s="12" t="s">
        <v>106</v>
      </c>
      <c r="G30" s="12" t="s">
        <v>111</v>
      </c>
      <c r="H30" s="12" t="s">
        <v>105</v>
      </c>
      <c r="I30" s="12" t="s">
        <v>786</v>
      </c>
      <c r="J30" s="12" t="s">
        <v>785</v>
      </c>
      <c r="K30" s="11"/>
      <c r="L30" s="11"/>
    </row>
    <row r="31" spans="1:14" ht="30" x14ac:dyDescent="0.2">
      <c r="A31" s="65" t="s">
        <v>784</v>
      </c>
      <c r="B31" s="36" t="s">
        <v>66</v>
      </c>
      <c r="C31" s="33" t="s">
        <v>105</v>
      </c>
      <c r="D31" s="34">
        <v>98021572</v>
      </c>
      <c r="E31" s="34" t="s">
        <v>783</v>
      </c>
      <c r="F31" s="34" t="s">
        <v>782</v>
      </c>
      <c r="G31" s="34">
        <v>97433</v>
      </c>
      <c r="H31" s="34" t="s">
        <v>105</v>
      </c>
      <c r="I31" s="34"/>
      <c r="J31" s="34" t="s">
        <v>781</v>
      </c>
      <c r="K31" s="33"/>
      <c r="L31" s="33" t="s">
        <v>780</v>
      </c>
      <c r="N31" s="15"/>
    </row>
    <row r="32" spans="1:14" x14ac:dyDescent="0.2">
      <c r="A32" s="22" t="s">
        <v>779</v>
      </c>
      <c r="B32" s="23" t="s">
        <v>66</v>
      </c>
      <c r="C32" s="22" t="s">
        <v>105</v>
      </c>
      <c r="D32" s="11">
        <v>98021547</v>
      </c>
      <c r="E32" s="11" t="s">
        <v>778</v>
      </c>
      <c r="F32" s="11" t="s">
        <v>106</v>
      </c>
      <c r="G32" s="11">
        <v>97433</v>
      </c>
      <c r="H32" s="11" t="s">
        <v>105</v>
      </c>
      <c r="I32" s="11"/>
      <c r="J32" s="11" t="s">
        <v>777</v>
      </c>
      <c r="K32" s="11"/>
      <c r="L32" s="11"/>
    </row>
    <row r="33" spans="1:14" x14ac:dyDescent="0.2">
      <c r="A33" s="33" t="s">
        <v>776</v>
      </c>
      <c r="B33" s="35" t="s">
        <v>66</v>
      </c>
      <c r="C33" s="33" t="s">
        <v>105</v>
      </c>
      <c r="D33" s="33">
        <v>98021741</v>
      </c>
      <c r="E33" s="33"/>
      <c r="F33" s="33"/>
      <c r="G33" s="33"/>
      <c r="H33" s="33"/>
      <c r="I33" s="33"/>
      <c r="J33" s="33"/>
      <c r="K33" s="33"/>
      <c r="L33" s="33"/>
    </row>
    <row r="34" spans="1:14" x14ac:dyDescent="0.2">
      <c r="A34" s="22" t="s">
        <v>775</v>
      </c>
      <c r="B34" s="43" t="s">
        <v>77</v>
      </c>
      <c r="C34" s="22" t="s">
        <v>105</v>
      </c>
      <c r="D34" s="11">
        <v>98021009</v>
      </c>
      <c r="E34" s="11" t="s">
        <v>774</v>
      </c>
      <c r="F34" s="11" t="s">
        <v>106</v>
      </c>
      <c r="G34" s="11">
        <v>97438</v>
      </c>
      <c r="H34" s="11" t="s">
        <v>105</v>
      </c>
      <c r="I34" s="11" t="s">
        <v>773</v>
      </c>
      <c r="J34" s="11" t="s">
        <v>772</v>
      </c>
      <c r="K34" s="11"/>
      <c r="L34" s="11" t="s">
        <v>771</v>
      </c>
    </row>
    <row r="35" spans="1:14" ht="45" x14ac:dyDescent="0.2">
      <c r="A35" s="12" t="s">
        <v>770</v>
      </c>
      <c r="B35" s="17" t="s">
        <v>77</v>
      </c>
      <c r="C35" s="30" t="s">
        <v>140</v>
      </c>
      <c r="D35" s="12">
        <v>98010194</v>
      </c>
      <c r="E35" s="12"/>
      <c r="F35" s="12"/>
      <c r="G35" s="12"/>
      <c r="H35" s="12"/>
      <c r="I35" s="12"/>
      <c r="J35" s="12"/>
      <c r="K35" s="11"/>
      <c r="L35" s="11" t="s">
        <v>769</v>
      </c>
    </row>
    <row r="36" spans="1:14" ht="30" x14ac:dyDescent="0.2">
      <c r="A36" s="34" t="s">
        <v>768</v>
      </c>
      <c r="B36" s="41" t="s">
        <v>77</v>
      </c>
      <c r="C36" s="34" t="s">
        <v>76</v>
      </c>
      <c r="D36" s="34">
        <v>98001161</v>
      </c>
      <c r="E36" s="34" t="s">
        <v>767</v>
      </c>
      <c r="F36" s="34" t="s">
        <v>74</v>
      </c>
      <c r="G36" s="34">
        <v>97421</v>
      </c>
      <c r="H36" s="34" t="s">
        <v>766</v>
      </c>
      <c r="I36" s="34" t="s">
        <v>765</v>
      </c>
      <c r="J36" s="34"/>
      <c r="K36" s="33"/>
      <c r="L36" s="33" t="s">
        <v>764</v>
      </c>
      <c r="M36" s="45"/>
      <c r="N36" s="45"/>
    </row>
    <row r="37" spans="1:14" ht="45" x14ac:dyDescent="0.2">
      <c r="A37" s="12" t="s">
        <v>763</v>
      </c>
      <c r="B37" s="17" t="s">
        <v>77</v>
      </c>
      <c r="C37" s="30" t="s">
        <v>140</v>
      </c>
      <c r="D37" s="12">
        <v>98006064</v>
      </c>
      <c r="E37" s="12" t="s">
        <v>762</v>
      </c>
      <c r="F37" s="12" t="s">
        <v>74</v>
      </c>
      <c r="G37" s="12" t="s">
        <v>453</v>
      </c>
      <c r="H37" s="12" t="s">
        <v>161</v>
      </c>
      <c r="I37" s="12" t="s">
        <v>761</v>
      </c>
      <c r="J37" s="12" t="s">
        <v>760</v>
      </c>
      <c r="K37" s="11"/>
      <c r="L37" s="11" t="s">
        <v>759</v>
      </c>
    </row>
    <row r="38" spans="1:14" x14ac:dyDescent="0.2">
      <c r="A38" s="44" t="s">
        <v>758</v>
      </c>
      <c r="B38" s="17" t="s">
        <v>77</v>
      </c>
      <c r="C38" s="22" t="s">
        <v>105</v>
      </c>
      <c r="D38" s="12">
        <v>98021587</v>
      </c>
      <c r="E38" s="12" t="s">
        <v>757</v>
      </c>
      <c r="F38" s="12" t="s">
        <v>106</v>
      </c>
      <c r="G38" s="12" t="s">
        <v>111</v>
      </c>
      <c r="H38" s="12" t="s">
        <v>105</v>
      </c>
      <c r="I38" s="12" t="s">
        <v>756</v>
      </c>
      <c r="J38" s="12" t="s">
        <v>755</v>
      </c>
      <c r="K38" s="11"/>
      <c r="L38" s="11" t="s">
        <v>754</v>
      </c>
    </row>
    <row r="39" spans="1:14" x14ac:dyDescent="0.2">
      <c r="A39" s="12" t="s">
        <v>753</v>
      </c>
      <c r="B39" s="17" t="s">
        <v>77</v>
      </c>
      <c r="C39" s="16" t="s">
        <v>76</v>
      </c>
      <c r="D39" s="12">
        <v>98001055</v>
      </c>
      <c r="E39" s="12" t="s">
        <v>752</v>
      </c>
      <c r="F39" s="12" t="s">
        <v>74</v>
      </c>
      <c r="G39" s="12" t="s">
        <v>73</v>
      </c>
      <c r="H39" s="12" t="s">
        <v>72</v>
      </c>
      <c r="I39" s="12" t="s">
        <v>751</v>
      </c>
      <c r="J39" s="12" t="s">
        <v>750</v>
      </c>
      <c r="K39" s="11"/>
      <c r="L39" s="37" t="s">
        <v>749</v>
      </c>
    </row>
    <row r="40" spans="1:14" s="45" customFormat="1" ht="30" x14ac:dyDescent="0.2">
      <c r="A40" s="12" t="s">
        <v>748</v>
      </c>
      <c r="B40" s="17" t="s">
        <v>77</v>
      </c>
      <c r="C40" s="28" t="s">
        <v>38</v>
      </c>
      <c r="D40" s="12">
        <v>98121196</v>
      </c>
      <c r="E40" s="12" t="s">
        <v>42</v>
      </c>
      <c r="F40" s="12" t="s">
        <v>117</v>
      </c>
      <c r="G40" s="12">
        <v>97480</v>
      </c>
      <c r="H40" s="12" t="s">
        <v>38</v>
      </c>
      <c r="I40" s="12" t="s">
        <v>747</v>
      </c>
      <c r="J40" s="12" t="s">
        <v>746</v>
      </c>
      <c r="K40" s="11"/>
      <c r="L40" s="64" t="s">
        <v>43</v>
      </c>
      <c r="M40" s="4"/>
      <c r="N40" s="4"/>
    </row>
    <row r="41" spans="1:14" ht="30" x14ac:dyDescent="0.2">
      <c r="A41" s="34" t="s">
        <v>745</v>
      </c>
      <c r="B41" s="41" t="s">
        <v>77</v>
      </c>
      <c r="C41" s="34" t="s">
        <v>91</v>
      </c>
      <c r="D41" s="34">
        <v>98214270</v>
      </c>
      <c r="E41" s="34" t="s">
        <v>744</v>
      </c>
      <c r="F41" s="34" t="s">
        <v>194</v>
      </c>
      <c r="G41" s="34" t="s">
        <v>193</v>
      </c>
      <c r="H41" s="34" t="s">
        <v>192</v>
      </c>
      <c r="I41" s="34" t="s">
        <v>743</v>
      </c>
      <c r="J41" s="34" t="s">
        <v>742</v>
      </c>
      <c r="K41" s="33"/>
      <c r="L41" s="33"/>
      <c r="M41" s="45"/>
      <c r="N41" s="45"/>
    </row>
    <row r="42" spans="1:14" ht="45" x14ac:dyDescent="0.2">
      <c r="A42" s="12" t="s">
        <v>741</v>
      </c>
      <c r="B42" s="17" t="s">
        <v>77</v>
      </c>
      <c r="C42" s="30" t="s">
        <v>140</v>
      </c>
      <c r="D42" s="12">
        <v>98019020</v>
      </c>
      <c r="E42" s="12" t="s">
        <v>740</v>
      </c>
      <c r="F42" s="12" t="s">
        <v>739</v>
      </c>
      <c r="G42" s="12" t="s">
        <v>576</v>
      </c>
      <c r="H42" s="12" t="s">
        <v>575</v>
      </c>
      <c r="I42" s="12" t="s">
        <v>74</v>
      </c>
      <c r="J42" s="12" t="s">
        <v>738</v>
      </c>
      <c r="K42" s="11"/>
      <c r="L42" s="11" t="s">
        <v>737</v>
      </c>
    </row>
    <row r="43" spans="1:14" x14ac:dyDescent="0.2">
      <c r="A43" s="12" t="s">
        <v>736</v>
      </c>
      <c r="B43" s="17" t="s">
        <v>77</v>
      </c>
      <c r="C43" s="16" t="s">
        <v>76</v>
      </c>
      <c r="D43" s="12">
        <v>98001167</v>
      </c>
      <c r="E43" s="12" t="s">
        <v>735</v>
      </c>
      <c r="F43" s="12" t="s">
        <v>734</v>
      </c>
      <c r="G43" s="12" t="s">
        <v>73</v>
      </c>
      <c r="H43" s="12" t="s">
        <v>72</v>
      </c>
      <c r="I43" s="12" t="s">
        <v>733</v>
      </c>
      <c r="J43" s="12" t="s">
        <v>732</v>
      </c>
      <c r="K43" s="11"/>
      <c r="L43" s="11" t="s">
        <v>731</v>
      </c>
    </row>
    <row r="44" spans="1:14" s="45" customFormat="1" x14ac:dyDescent="0.2">
      <c r="A44" s="12" t="s">
        <v>730</v>
      </c>
      <c r="B44" s="17" t="s">
        <v>77</v>
      </c>
      <c r="C44" s="16" t="s">
        <v>76</v>
      </c>
      <c r="D44" s="12">
        <v>98001162</v>
      </c>
      <c r="E44" s="12" t="s">
        <v>729</v>
      </c>
      <c r="F44" s="12" t="s">
        <v>74</v>
      </c>
      <c r="G44" s="12" t="s">
        <v>73</v>
      </c>
      <c r="H44" s="12" t="s">
        <v>72</v>
      </c>
      <c r="I44" s="12" t="s">
        <v>74</v>
      </c>
      <c r="J44" s="12" t="s">
        <v>728</v>
      </c>
      <c r="K44" s="11"/>
      <c r="L44" s="11" t="s">
        <v>727</v>
      </c>
      <c r="M44" s="4"/>
      <c r="N44" s="4"/>
    </row>
    <row r="45" spans="1:14" ht="30" x14ac:dyDescent="0.2">
      <c r="A45" s="12" t="s">
        <v>726</v>
      </c>
      <c r="B45" s="17" t="s">
        <v>77</v>
      </c>
      <c r="C45" s="20" t="s">
        <v>91</v>
      </c>
      <c r="D45" s="12">
        <v>98214112</v>
      </c>
      <c r="E45" s="12" t="s">
        <v>725</v>
      </c>
      <c r="F45" s="12" t="s">
        <v>74</v>
      </c>
      <c r="G45" s="12" t="s">
        <v>193</v>
      </c>
      <c r="H45" s="12" t="s">
        <v>192</v>
      </c>
      <c r="I45" s="12" t="s">
        <v>74</v>
      </c>
      <c r="J45" s="12" t="s">
        <v>724</v>
      </c>
      <c r="K45" s="11"/>
      <c r="L45" s="11" t="s">
        <v>723</v>
      </c>
    </row>
    <row r="46" spans="1:14" ht="30" x14ac:dyDescent="0.2">
      <c r="A46" s="14" t="s">
        <v>722</v>
      </c>
      <c r="B46" s="17" t="s">
        <v>77</v>
      </c>
      <c r="C46" s="20" t="s">
        <v>91</v>
      </c>
      <c r="D46" s="12">
        <v>98114013</v>
      </c>
      <c r="E46" s="12" t="s">
        <v>721</v>
      </c>
      <c r="F46" s="12" t="s">
        <v>681</v>
      </c>
      <c r="G46" s="12">
        <v>97421</v>
      </c>
      <c r="H46" s="12" t="s">
        <v>286</v>
      </c>
      <c r="I46" s="12"/>
      <c r="J46" s="12" t="s">
        <v>720</v>
      </c>
      <c r="K46" s="11"/>
      <c r="L46" s="11" t="s">
        <v>719</v>
      </c>
    </row>
    <row r="47" spans="1:14" ht="30" x14ac:dyDescent="0.2">
      <c r="A47" s="12" t="s">
        <v>718</v>
      </c>
      <c r="B47" s="17" t="s">
        <v>77</v>
      </c>
      <c r="C47" s="28" t="s">
        <v>38</v>
      </c>
      <c r="D47" s="12">
        <v>98022419</v>
      </c>
      <c r="E47" s="12" t="s">
        <v>717</v>
      </c>
      <c r="F47" s="12" t="s">
        <v>254</v>
      </c>
      <c r="G47" s="12" t="s">
        <v>129</v>
      </c>
      <c r="H47" s="12" t="s">
        <v>38</v>
      </c>
      <c r="I47" s="12" t="s">
        <v>74</v>
      </c>
      <c r="J47" s="12" t="s">
        <v>716</v>
      </c>
      <c r="K47" s="11"/>
      <c r="L47" s="11" t="s">
        <v>715</v>
      </c>
    </row>
    <row r="48" spans="1:14" ht="30" x14ac:dyDescent="0.2">
      <c r="A48" s="12" t="s">
        <v>714</v>
      </c>
      <c r="B48" s="17" t="s">
        <v>77</v>
      </c>
      <c r="C48" s="19" t="s">
        <v>82</v>
      </c>
      <c r="D48" s="12">
        <v>98322112</v>
      </c>
      <c r="E48" s="12" t="s">
        <v>713</v>
      </c>
      <c r="F48" s="12" t="s">
        <v>712</v>
      </c>
      <c r="G48" s="12">
        <v>97410</v>
      </c>
      <c r="H48" s="12" t="s">
        <v>45</v>
      </c>
      <c r="I48" s="12" t="s">
        <v>711</v>
      </c>
      <c r="J48" s="11" t="s">
        <v>710</v>
      </c>
      <c r="K48" s="12" t="s">
        <v>709</v>
      </c>
      <c r="L48" s="63" t="s">
        <v>708</v>
      </c>
    </row>
    <row r="49" spans="1:14" x14ac:dyDescent="0.2">
      <c r="A49" s="12" t="s">
        <v>707</v>
      </c>
      <c r="B49" s="17" t="s">
        <v>77</v>
      </c>
      <c r="C49" s="16" t="s">
        <v>76</v>
      </c>
      <c r="D49" s="12">
        <v>98013025</v>
      </c>
      <c r="E49" s="12" t="s">
        <v>706</v>
      </c>
      <c r="F49" s="12" t="s">
        <v>705</v>
      </c>
      <c r="G49" s="12" t="s">
        <v>704</v>
      </c>
      <c r="H49" s="12" t="s">
        <v>219</v>
      </c>
      <c r="I49" s="12" t="s">
        <v>703</v>
      </c>
      <c r="J49" s="12" t="s">
        <v>702</v>
      </c>
      <c r="K49" s="11"/>
      <c r="L49" s="62"/>
      <c r="M49" s="15"/>
    </row>
    <row r="50" spans="1:14" ht="30" x14ac:dyDescent="0.2">
      <c r="A50" s="12" t="s">
        <v>701</v>
      </c>
      <c r="B50" s="17" t="s">
        <v>77</v>
      </c>
      <c r="C50" s="28" t="s">
        <v>38</v>
      </c>
      <c r="D50" s="12">
        <v>98212256</v>
      </c>
      <c r="E50" s="12" t="s">
        <v>700</v>
      </c>
      <c r="F50" s="12" t="s">
        <v>74</v>
      </c>
      <c r="G50" s="12" t="s">
        <v>129</v>
      </c>
      <c r="H50" s="12" t="s">
        <v>38</v>
      </c>
      <c r="I50" s="12" t="s">
        <v>699</v>
      </c>
      <c r="J50" s="12" t="s">
        <v>698</v>
      </c>
      <c r="K50" s="11" t="s">
        <v>697</v>
      </c>
      <c r="L50" s="11" t="s">
        <v>696</v>
      </c>
    </row>
    <row r="51" spans="1:14" ht="30" x14ac:dyDescent="0.2">
      <c r="A51" s="12" t="s">
        <v>695</v>
      </c>
      <c r="B51" s="17" t="s">
        <v>77</v>
      </c>
      <c r="C51" s="20" t="s">
        <v>91</v>
      </c>
      <c r="D51" s="12">
        <v>98214002</v>
      </c>
      <c r="E51" s="12" t="s">
        <v>694</v>
      </c>
      <c r="F51" s="12" t="s">
        <v>74</v>
      </c>
      <c r="G51" s="12" t="s">
        <v>693</v>
      </c>
      <c r="H51" s="12" t="s">
        <v>88</v>
      </c>
      <c r="I51" s="12" t="s">
        <v>692</v>
      </c>
      <c r="J51" s="12" t="s">
        <v>691</v>
      </c>
      <c r="K51" s="11"/>
      <c r="L51" s="11" t="s">
        <v>690</v>
      </c>
    </row>
    <row r="52" spans="1:14" ht="30" x14ac:dyDescent="0.2">
      <c r="A52" s="12" t="s">
        <v>689</v>
      </c>
      <c r="B52" s="17" t="s">
        <v>77</v>
      </c>
      <c r="C52" s="28" t="s">
        <v>38</v>
      </c>
      <c r="D52" s="12">
        <v>98012205</v>
      </c>
      <c r="E52" s="12" t="s">
        <v>688</v>
      </c>
      <c r="F52" s="12" t="s">
        <v>687</v>
      </c>
      <c r="G52" s="12" t="s">
        <v>129</v>
      </c>
      <c r="H52" s="12" t="s">
        <v>38</v>
      </c>
      <c r="I52" s="12" t="s">
        <v>686</v>
      </c>
      <c r="J52" s="12" t="s">
        <v>685</v>
      </c>
      <c r="K52" s="11"/>
      <c r="L52" s="11" t="s">
        <v>684</v>
      </c>
    </row>
    <row r="53" spans="1:14" ht="30" x14ac:dyDescent="0.2">
      <c r="A53" s="12" t="s">
        <v>683</v>
      </c>
      <c r="B53" s="13" t="s">
        <v>66</v>
      </c>
      <c r="C53" s="20" t="s">
        <v>91</v>
      </c>
      <c r="D53" s="12">
        <v>98114008</v>
      </c>
      <c r="E53" s="12" t="s">
        <v>682</v>
      </c>
      <c r="F53" s="12" t="s">
        <v>681</v>
      </c>
      <c r="G53" s="12">
        <v>97421</v>
      </c>
      <c r="H53" s="12" t="s">
        <v>286</v>
      </c>
      <c r="I53" s="12"/>
      <c r="J53" s="12" t="s">
        <v>680</v>
      </c>
      <c r="K53" s="11"/>
      <c r="L53" s="11" t="s">
        <v>679</v>
      </c>
    </row>
    <row r="54" spans="1:14" ht="30" x14ac:dyDescent="0.2">
      <c r="A54" s="12" t="s">
        <v>678</v>
      </c>
      <c r="B54" s="17" t="s">
        <v>77</v>
      </c>
      <c r="C54" s="20" t="s">
        <v>91</v>
      </c>
      <c r="D54" s="12">
        <v>98214113</v>
      </c>
      <c r="E54" s="12" t="s">
        <v>677</v>
      </c>
      <c r="F54" s="12" t="s">
        <v>194</v>
      </c>
      <c r="G54" s="12" t="s">
        <v>193</v>
      </c>
      <c r="H54" s="12" t="s">
        <v>192</v>
      </c>
      <c r="I54" s="12" t="s">
        <v>676</v>
      </c>
      <c r="J54" s="12" t="s">
        <v>675</v>
      </c>
      <c r="K54" s="11"/>
      <c r="L54" s="11" t="s">
        <v>674</v>
      </c>
    </row>
    <row r="55" spans="1:14" ht="30" x14ac:dyDescent="0.2">
      <c r="A55" s="12" t="s">
        <v>673</v>
      </c>
      <c r="B55" s="17" t="s">
        <v>77</v>
      </c>
      <c r="C55" s="28" t="s">
        <v>38</v>
      </c>
      <c r="D55" s="12">
        <v>98012395</v>
      </c>
      <c r="E55" s="12" t="s">
        <v>672</v>
      </c>
      <c r="F55" s="12" t="s">
        <v>74</v>
      </c>
      <c r="G55" s="12" t="s">
        <v>129</v>
      </c>
      <c r="H55" s="12" t="s">
        <v>38</v>
      </c>
      <c r="I55" s="12" t="s">
        <v>671</v>
      </c>
      <c r="J55" s="12" t="s">
        <v>670</v>
      </c>
      <c r="K55" s="11"/>
      <c r="L55" s="11" t="s">
        <v>669</v>
      </c>
    </row>
    <row r="56" spans="1:14" ht="45" x14ac:dyDescent="0.2">
      <c r="A56" s="34" t="s">
        <v>668</v>
      </c>
      <c r="B56" s="41" t="s">
        <v>77</v>
      </c>
      <c r="C56" s="34" t="s">
        <v>140</v>
      </c>
      <c r="D56" s="34">
        <v>98119021</v>
      </c>
      <c r="E56" s="34" t="s">
        <v>667</v>
      </c>
      <c r="F56" s="34" t="s">
        <v>666</v>
      </c>
      <c r="G56" s="34" t="s">
        <v>576</v>
      </c>
      <c r="H56" s="34" t="s">
        <v>575</v>
      </c>
      <c r="I56" s="34" t="s">
        <v>665</v>
      </c>
      <c r="J56" s="34" t="s">
        <v>664</v>
      </c>
      <c r="K56" s="33"/>
      <c r="L56" s="33" t="s">
        <v>663</v>
      </c>
      <c r="M56" s="15"/>
      <c r="N56" s="15"/>
    </row>
    <row r="57" spans="1:14" ht="45" x14ac:dyDescent="0.2">
      <c r="A57" s="12" t="s">
        <v>662</v>
      </c>
      <c r="B57" s="17" t="s">
        <v>77</v>
      </c>
      <c r="C57" s="10" t="s">
        <v>58</v>
      </c>
      <c r="D57" s="12">
        <v>98615034</v>
      </c>
      <c r="E57" s="12" t="s">
        <v>661</v>
      </c>
      <c r="F57" s="12" t="s">
        <v>660</v>
      </c>
      <c r="G57" s="12" t="s">
        <v>473</v>
      </c>
      <c r="H57" s="12" t="s">
        <v>472</v>
      </c>
      <c r="I57" s="12" t="s">
        <v>74</v>
      </c>
      <c r="J57" s="12" t="s">
        <v>659</v>
      </c>
      <c r="K57" s="11"/>
      <c r="L57" s="11" t="s">
        <v>658</v>
      </c>
    </row>
    <row r="58" spans="1:14" ht="30" x14ac:dyDescent="0.2">
      <c r="A58" s="12" t="s">
        <v>657</v>
      </c>
      <c r="B58" s="17" t="s">
        <v>77</v>
      </c>
      <c r="C58" s="20" t="s">
        <v>91</v>
      </c>
      <c r="D58" s="12">
        <v>98004063</v>
      </c>
      <c r="E58" s="12" t="s">
        <v>656</v>
      </c>
      <c r="F58" s="12" t="s">
        <v>655</v>
      </c>
      <c r="G58" s="12" t="s">
        <v>616</v>
      </c>
      <c r="H58" s="12" t="s">
        <v>654</v>
      </c>
      <c r="I58" s="12" t="s">
        <v>653</v>
      </c>
      <c r="J58" s="12" t="s">
        <v>652</v>
      </c>
      <c r="K58" s="11"/>
      <c r="L58" s="11" t="s">
        <v>651</v>
      </c>
    </row>
    <row r="59" spans="1:14" ht="45" x14ac:dyDescent="0.2">
      <c r="A59" s="12" t="s">
        <v>650</v>
      </c>
      <c r="B59" s="17" t="s">
        <v>77</v>
      </c>
      <c r="C59" s="30" t="s">
        <v>140</v>
      </c>
      <c r="D59" s="12">
        <v>98006154</v>
      </c>
      <c r="E59" s="12" t="s">
        <v>649</v>
      </c>
      <c r="F59" s="12" t="s">
        <v>74</v>
      </c>
      <c r="G59" s="12" t="s">
        <v>648</v>
      </c>
      <c r="H59" s="12" t="s">
        <v>647</v>
      </c>
      <c r="I59" s="12" t="s">
        <v>646</v>
      </c>
      <c r="J59" s="12" t="s">
        <v>645</v>
      </c>
      <c r="K59" s="61"/>
      <c r="L59" s="11"/>
    </row>
    <row r="60" spans="1:14" ht="30" x14ac:dyDescent="0.2">
      <c r="A60" s="12" t="s">
        <v>644</v>
      </c>
      <c r="B60" s="17" t="s">
        <v>77</v>
      </c>
      <c r="C60" s="7" t="s">
        <v>51</v>
      </c>
      <c r="D60" s="12">
        <v>98122422</v>
      </c>
      <c r="E60" s="12" t="s">
        <v>643</v>
      </c>
      <c r="F60" s="12" t="s">
        <v>642</v>
      </c>
      <c r="G60" s="12" t="s">
        <v>641</v>
      </c>
      <c r="H60" s="12" t="s">
        <v>206</v>
      </c>
      <c r="I60" s="12" t="s">
        <v>640</v>
      </c>
      <c r="J60" s="12" t="s">
        <v>639</v>
      </c>
      <c r="K60" s="11"/>
      <c r="L60" s="11" t="s">
        <v>638</v>
      </c>
    </row>
    <row r="61" spans="1:14" x14ac:dyDescent="0.2">
      <c r="A61" s="6" t="s">
        <v>637</v>
      </c>
      <c r="B61" s="60" t="s">
        <v>52</v>
      </c>
      <c r="C61" s="16" t="s">
        <v>76</v>
      </c>
      <c r="D61" s="6">
        <v>98001273</v>
      </c>
      <c r="E61" s="6" t="s">
        <v>636</v>
      </c>
      <c r="F61" s="6"/>
      <c r="G61" s="6">
        <v>97425</v>
      </c>
      <c r="H61" s="6" t="s">
        <v>72</v>
      </c>
      <c r="I61" s="6"/>
      <c r="J61" s="6" t="s">
        <v>635</v>
      </c>
      <c r="K61" s="6"/>
      <c r="L61" s="6"/>
    </row>
    <row r="62" spans="1:14" x14ac:dyDescent="0.2">
      <c r="A62" s="12" t="s">
        <v>634</v>
      </c>
      <c r="B62" s="17" t="s">
        <v>77</v>
      </c>
      <c r="C62" s="16" t="s">
        <v>76</v>
      </c>
      <c r="D62" s="12">
        <v>98101068</v>
      </c>
      <c r="E62" s="12" t="s">
        <v>633</v>
      </c>
      <c r="F62" s="12" t="s">
        <v>497</v>
      </c>
      <c r="G62" s="12" t="s">
        <v>73</v>
      </c>
      <c r="H62" s="12" t="s">
        <v>72</v>
      </c>
      <c r="I62" s="12" t="s">
        <v>632</v>
      </c>
      <c r="J62" s="12" t="s">
        <v>631</v>
      </c>
      <c r="K62" s="11"/>
      <c r="L62" s="11"/>
    </row>
    <row r="63" spans="1:14" x14ac:dyDescent="0.2">
      <c r="A63" s="12" t="s">
        <v>630</v>
      </c>
      <c r="B63" s="17" t="s">
        <v>77</v>
      </c>
      <c r="C63" s="28" t="s">
        <v>38</v>
      </c>
      <c r="D63" s="12">
        <v>98005121</v>
      </c>
      <c r="E63" s="12" t="s">
        <v>629</v>
      </c>
      <c r="F63" s="12" t="s">
        <v>74</v>
      </c>
      <c r="G63" s="12" t="s">
        <v>175</v>
      </c>
      <c r="H63" s="12" t="s">
        <v>174</v>
      </c>
      <c r="I63" s="12" t="s">
        <v>628</v>
      </c>
      <c r="J63" s="12" t="s">
        <v>627</v>
      </c>
      <c r="K63" s="11"/>
      <c r="L63" s="11"/>
    </row>
    <row r="64" spans="1:14" x14ac:dyDescent="0.2">
      <c r="A64" s="44" t="s">
        <v>626</v>
      </c>
      <c r="B64" s="17" t="s">
        <v>77</v>
      </c>
      <c r="C64" s="22" t="s">
        <v>105</v>
      </c>
      <c r="D64" s="12">
        <v>98021066</v>
      </c>
      <c r="E64" s="12" t="s">
        <v>625</v>
      </c>
      <c r="F64" s="12" t="s">
        <v>106</v>
      </c>
      <c r="G64" s="12" t="s">
        <v>111</v>
      </c>
      <c r="H64" s="12" t="s">
        <v>105</v>
      </c>
      <c r="I64" s="12" t="s">
        <v>624</v>
      </c>
      <c r="J64" s="12" t="s">
        <v>74</v>
      </c>
      <c r="K64" s="11"/>
      <c r="L64" s="11"/>
    </row>
    <row r="65" spans="1:14" ht="30" x14ac:dyDescent="0.2">
      <c r="A65" s="12" t="s">
        <v>623</v>
      </c>
      <c r="B65" s="17" t="s">
        <v>77</v>
      </c>
      <c r="C65" s="19" t="s">
        <v>82</v>
      </c>
      <c r="D65" s="12">
        <v>98316171</v>
      </c>
      <c r="E65" s="12" t="s">
        <v>622</v>
      </c>
      <c r="F65" s="12" t="s">
        <v>308</v>
      </c>
      <c r="G65" s="12" t="s">
        <v>168</v>
      </c>
      <c r="H65" s="12" t="s">
        <v>45</v>
      </c>
      <c r="I65" s="12" t="s">
        <v>621</v>
      </c>
      <c r="J65" s="12" t="s">
        <v>620</v>
      </c>
      <c r="K65" s="11"/>
      <c r="L65" s="11" t="s">
        <v>619</v>
      </c>
    </row>
    <row r="66" spans="1:14" ht="30" x14ac:dyDescent="0.2">
      <c r="A66" s="12" t="s">
        <v>618</v>
      </c>
      <c r="B66" s="17" t="s">
        <v>77</v>
      </c>
      <c r="C66" s="20" t="s">
        <v>91</v>
      </c>
      <c r="D66" s="12">
        <v>98004111</v>
      </c>
      <c r="E66" s="12" t="s">
        <v>617</v>
      </c>
      <c r="F66" s="12" t="s">
        <v>74</v>
      </c>
      <c r="G66" s="12" t="s">
        <v>616</v>
      </c>
      <c r="H66" s="12" t="s">
        <v>615</v>
      </c>
      <c r="I66" s="12" t="s">
        <v>614</v>
      </c>
      <c r="J66" s="12" t="s">
        <v>613</v>
      </c>
      <c r="K66" s="11"/>
      <c r="L66" s="11" t="s">
        <v>612</v>
      </c>
    </row>
    <row r="67" spans="1:14" x14ac:dyDescent="0.2">
      <c r="A67" s="12" t="s">
        <v>611</v>
      </c>
      <c r="B67" s="17" t="s">
        <v>77</v>
      </c>
      <c r="C67" s="16" t="s">
        <v>76</v>
      </c>
      <c r="D67" s="12">
        <v>98001038</v>
      </c>
      <c r="E67" s="12" t="s">
        <v>610</v>
      </c>
      <c r="F67" s="12" t="s">
        <v>74</v>
      </c>
      <c r="G67" s="12" t="s">
        <v>73</v>
      </c>
      <c r="H67" s="12" t="s">
        <v>72</v>
      </c>
      <c r="I67" s="12" t="s">
        <v>609</v>
      </c>
      <c r="J67" s="12" t="s">
        <v>608</v>
      </c>
      <c r="K67" s="11"/>
      <c r="L67" s="11"/>
    </row>
    <row r="68" spans="1:14" ht="30" x14ac:dyDescent="0.2">
      <c r="A68" s="12" t="s">
        <v>607</v>
      </c>
      <c r="B68" s="17" t="s">
        <v>77</v>
      </c>
      <c r="C68" s="28" t="s">
        <v>38</v>
      </c>
      <c r="D68" s="12">
        <v>98312766</v>
      </c>
      <c r="E68" s="12" t="s">
        <v>606</v>
      </c>
      <c r="F68" s="12" t="s">
        <v>584</v>
      </c>
      <c r="G68" s="12" t="s">
        <v>129</v>
      </c>
      <c r="H68" s="12" t="s">
        <v>38</v>
      </c>
      <c r="I68" s="12" t="s">
        <v>605</v>
      </c>
      <c r="J68" s="12" t="s">
        <v>604</v>
      </c>
      <c r="K68" s="11"/>
      <c r="L68" s="11" t="s">
        <v>603</v>
      </c>
    </row>
    <row r="69" spans="1:14" ht="30" x14ac:dyDescent="0.2">
      <c r="A69" s="12" t="s">
        <v>602</v>
      </c>
      <c r="B69" s="17" t="s">
        <v>77</v>
      </c>
      <c r="C69" s="16" t="s">
        <v>76</v>
      </c>
      <c r="D69" s="12">
        <v>98213167</v>
      </c>
      <c r="E69" s="12" t="s">
        <v>601</v>
      </c>
      <c r="F69" s="12" t="s">
        <v>600</v>
      </c>
      <c r="G69" s="12" t="s">
        <v>330</v>
      </c>
      <c r="H69" s="12" t="s">
        <v>149</v>
      </c>
      <c r="I69" s="12" t="s">
        <v>599</v>
      </c>
      <c r="J69" s="12" t="s">
        <v>598</v>
      </c>
      <c r="K69" s="11"/>
      <c r="L69" s="11" t="s">
        <v>597</v>
      </c>
      <c r="N69" s="15"/>
    </row>
    <row r="70" spans="1:14" ht="45" x14ac:dyDescent="0.2">
      <c r="A70" s="12" t="s">
        <v>596</v>
      </c>
      <c r="B70" s="17" t="s">
        <v>77</v>
      </c>
      <c r="C70" s="30" t="s">
        <v>140</v>
      </c>
      <c r="D70" s="12">
        <v>98110061</v>
      </c>
      <c r="E70" s="12" t="s">
        <v>595</v>
      </c>
      <c r="F70" s="12" t="s">
        <v>74</v>
      </c>
      <c r="G70" s="12" t="s">
        <v>138</v>
      </c>
      <c r="H70" s="12" t="s">
        <v>137</v>
      </c>
      <c r="I70" s="12" t="s">
        <v>594</v>
      </c>
      <c r="J70" s="12" t="s">
        <v>593</v>
      </c>
      <c r="K70" s="11"/>
      <c r="L70" s="11" t="s">
        <v>592</v>
      </c>
    </row>
    <row r="71" spans="1:14" ht="30" x14ac:dyDescent="0.2">
      <c r="A71" s="12" t="s">
        <v>591</v>
      </c>
      <c r="B71" s="17" t="s">
        <v>77</v>
      </c>
      <c r="C71" s="31" t="s">
        <v>156</v>
      </c>
      <c r="D71" s="59">
        <v>98009287</v>
      </c>
      <c r="E71" s="12" t="s">
        <v>590</v>
      </c>
      <c r="F71" s="12" t="s">
        <v>589</v>
      </c>
      <c r="G71" s="12" t="s">
        <v>479</v>
      </c>
      <c r="H71" s="12" t="s">
        <v>185</v>
      </c>
      <c r="I71" s="12" t="s">
        <v>588</v>
      </c>
      <c r="J71" s="12" t="s">
        <v>587</v>
      </c>
      <c r="K71" s="11"/>
      <c r="L71" s="11" t="s">
        <v>586</v>
      </c>
      <c r="M71" s="15"/>
    </row>
    <row r="72" spans="1:14" ht="44.5" customHeight="1" x14ac:dyDescent="0.2">
      <c r="A72" s="12" t="s">
        <v>585</v>
      </c>
      <c r="B72" s="17" t="s">
        <v>77</v>
      </c>
      <c r="C72" s="28" t="s">
        <v>38</v>
      </c>
      <c r="D72" s="12">
        <v>98312056</v>
      </c>
      <c r="E72" s="12" t="s">
        <v>37</v>
      </c>
      <c r="F72" s="12" t="s">
        <v>584</v>
      </c>
      <c r="G72" s="12">
        <v>97480</v>
      </c>
      <c r="H72" s="12" t="s">
        <v>38</v>
      </c>
      <c r="I72" s="12" t="s">
        <v>583</v>
      </c>
      <c r="J72" s="11" t="s">
        <v>582</v>
      </c>
      <c r="K72" s="12" t="s">
        <v>581</v>
      </c>
      <c r="L72" s="58" t="s">
        <v>40</v>
      </c>
    </row>
    <row r="73" spans="1:14" ht="45" x14ac:dyDescent="0.2">
      <c r="A73" s="12" t="s">
        <v>580</v>
      </c>
      <c r="B73" s="17" t="s">
        <v>77</v>
      </c>
      <c r="C73" s="30" t="s">
        <v>140</v>
      </c>
      <c r="D73" s="12">
        <v>98019024</v>
      </c>
      <c r="E73" s="12" t="s">
        <v>578</v>
      </c>
      <c r="F73" s="12" t="s">
        <v>577</v>
      </c>
      <c r="G73" s="12" t="s">
        <v>576</v>
      </c>
      <c r="H73" s="12" t="s">
        <v>575</v>
      </c>
      <c r="I73" s="12" t="s">
        <v>574</v>
      </c>
      <c r="J73" s="12" t="s">
        <v>573</v>
      </c>
      <c r="K73" s="11"/>
      <c r="L73" s="11" t="s">
        <v>572</v>
      </c>
      <c r="M73" s="15"/>
    </row>
    <row r="74" spans="1:14" ht="56" x14ac:dyDescent="0.2">
      <c r="A74" s="12" t="s">
        <v>579</v>
      </c>
      <c r="B74" s="17" t="s">
        <v>77</v>
      </c>
      <c r="C74" s="30" t="s">
        <v>140</v>
      </c>
      <c r="D74" s="12">
        <v>98110114</v>
      </c>
      <c r="E74" s="12" t="s">
        <v>578</v>
      </c>
      <c r="F74" s="12" t="s">
        <v>577</v>
      </c>
      <c r="G74" s="12" t="s">
        <v>576</v>
      </c>
      <c r="H74" s="12" t="s">
        <v>575</v>
      </c>
      <c r="I74" s="12" t="s">
        <v>574</v>
      </c>
      <c r="J74" s="12" t="s">
        <v>573</v>
      </c>
      <c r="K74" s="11"/>
      <c r="L74" s="11" t="s">
        <v>572</v>
      </c>
      <c r="M74" s="46" t="s">
        <v>571</v>
      </c>
      <c r="N74" s="15"/>
    </row>
    <row r="75" spans="1:14" ht="30" x14ac:dyDescent="0.2">
      <c r="A75" s="12" t="s">
        <v>570</v>
      </c>
      <c r="B75" s="17" t="s">
        <v>77</v>
      </c>
      <c r="C75" s="28" t="s">
        <v>38</v>
      </c>
      <c r="D75" s="12">
        <v>98212200</v>
      </c>
      <c r="E75" s="12" t="s">
        <v>255</v>
      </c>
      <c r="F75" s="12" t="s">
        <v>254</v>
      </c>
      <c r="G75" s="12" t="s">
        <v>129</v>
      </c>
      <c r="H75" s="12" t="s">
        <v>38</v>
      </c>
      <c r="I75" s="12" t="s">
        <v>253</v>
      </c>
      <c r="J75" s="12" t="s">
        <v>569</v>
      </c>
      <c r="K75" s="11"/>
      <c r="L75" s="37"/>
    </row>
    <row r="76" spans="1:14" ht="30" x14ac:dyDescent="0.2">
      <c r="A76" s="12" t="s">
        <v>568</v>
      </c>
      <c r="B76" s="17" t="s">
        <v>77</v>
      </c>
      <c r="C76" s="19" t="s">
        <v>82</v>
      </c>
      <c r="D76" s="12">
        <v>98016180</v>
      </c>
      <c r="E76" s="12" t="s">
        <v>567</v>
      </c>
      <c r="F76" s="12" t="s">
        <v>74</v>
      </c>
      <c r="G76" s="12" t="s">
        <v>168</v>
      </c>
      <c r="H76" s="12" t="s">
        <v>45</v>
      </c>
      <c r="I76" s="12" t="s">
        <v>566</v>
      </c>
      <c r="J76" s="12" t="s">
        <v>565</v>
      </c>
      <c r="K76" s="11"/>
      <c r="L76" s="11" t="s">
        <v>564</v>
      </c>
    </row>
    <row r="77" spans="1:14" ht="30" x14ac:dyDescent="0.2">
      <c r="A77" s="12" t="s">
        <v>563</v>
      </c>
      <c r="B77" s="17" t="s">
        <v>77</v>
      </c>
      <c r="C77" s="31" t="s">
        <v>156</v>
      </c>
      <c r="D77" s="12">
        <v>98102014</v>
      </c>
      <c r="E77" s="12" t="s">
        <v>562</v>
      </c>
      <c r="F77" s="12" t="s">
        <v>74</v>
      </c>
      <c r="G77" s="12" t="s">
        <v>561</v>
      </c>
      <c r="H77" s="12" t="s">
        <v>154</v>
      </c>
      <c r="I77" s="12" t="s">
        <v>560</v>
      </c>
      <c r="J77" s="12"/>
      <c r="K77" s="11" t="s">
        <v>559</v>
      </c>
      <c r="L77" s="11" t="s">
        <v>558</v>
      </c>
    </row>
    <row r="78" spans="1:14" ht="30" x14ac:dyDescent="0.2">
      <c r="A78" s="12" t="s">
        <v>557</v>
      </c>
      <c r="B78" s="17" t="s">
        <v>77</v>
      </c>
      <c r="C78" s="28" t="s">
        <v>38</v>
      </c>
      <c r="D78" s="12">
        <v>98312350</v>
      </c>
      <c r="E78" s="12" t="s">
        <v>554</v>
      </c>
      <c r="F78" s="12" t="s">
        <v>553</v>
      </c>
      <c r="G78" s="12" t="s">
        <v>129</v>
      </c>
      <c r="H78" s="12" t="s">
        <v>38</v>
      </c>
      <c r="I78" s="12" t="s">
        <v>552</v>
      </c>
      <c r="J78" s="12" t="s">
        <v>551</v>
      </c>
      <c r="K78" s="11"/>
      <c r="L78" s="6" t="s">
        <v>556</v>
      </c>
    </row>
    <row r="79" spans="1:14" ht="30" x14ac:dyDescent="0.2">
      <c r="A79" s="12" t="s">
        <v>555</v>
      </c>
      <c r="B79" s="17" t="s">
        <v>77</v>
      </c>
      <c r="C79" s="28" t="s">
        <v>38</v>
      </c>
      <c r="D79" s="12">
        <v>98312350</v>
      </c>
      <c r="E79" s="12" t="s">
        <v>554</v>
      </c>
      <c r="F79" s="12" t="s">
        <v>553</v>
      </c>
      <c r="G79" s="12" t="s">
        <v>129</v>
      </c>
      <c r="H79" s="12" t="s">
        <v>38</v>
      </c>
      <c r="I79" s="12" t="s">
        <v>552</v>
      </c>
      <c r="J79" s="12" t="s">
        <v>551</v>
      </c>
      <c r="K79" s="11"/>
      <c r="L79" s="37"/>
    </row>
    <row r="80" spans="1:14" ht="30" x14ac:dyDescent="0.2">
      <c r="A80" s="12" t="s">
        <v>550</v>
      </c>
      <c r="B80" s="17" t="s">
        <v>77</v>
      </c>
      <c r="C80" s="28" t="s">
        <v>38</v>
      </c>
      <c r="D80" s="12">
        <v>98012231</v>
      </c>
      <c r="E80" s="12" t="s">
        <v>549</v>
      </c>
      <c r="F80" s="12" t="s">
        <v>374</v>
      </c>
      <c r="G80" s="12" t="s">
        <v>129</v>
      </c>
      <c r="H80" s="12" t="s">
        <v>38</v>
      </c>
      <c r="I80" s="12" t="s">
        <v>548</v>
      </c>
      <c r="J80" s="11" t="s">
        <v>547</v>
      </c>
      <c r="K80" s="12" t="s">
        <v>546</v>
      </c>
      <c r="L80" s="11" t="s">
        <v>545</v>
      </c>
    </row>
    <row r="81" spans="1:14" ht="30" x14ac:dyDescent="0.2">
      <c r="A81" s="12" t="s">
        <v>544</v>
      </c>
      <c r="B81" s="17" t="s">
        <v>77</v>
      </c>
      <c r="C81" s="10" t="s">
        <v>58</v>
      </c>
      <c r="D81" s="12">
        <v>98023154</v>
      </c>
      <c r="E81" s="12" t="s">
        <v>543</v>
      </c>
      <c r="F81" s="12" t="s">
        <v>74</v>
      </c>
      <c r="G81" s="12" t="s">
        <v>95</v>
      </c>
      <c r="H81" s="12" t="s">
        <v>94</v>
      </c>
      <c r="I81" s="12" t="s">
        <v>542</v>
      </c>
      <c r="J81" s="12" t="s">
        <v>541</v>
      </c>
      <c r="K81" s="11"/>
      <c r="L81" s="11" t="s">
        <v>540</v>
      </c>
    </row>
    <row r="82" spans="1:14" ht="30" x14ac:dyDescent="0.2">
      <c r="A82" s="12" t="s">
        <v>539</v>
      </c>
      <c r="B82" s="17" t="s">
        <v>77</v>
      </c>
      <c r="C82" s="16" t="s">
        <v>76</v>
      </c>
      <c r="D82" s="12">
        <v>98101022</v>
      </c>
      <c r="E82" s="12" t="s">
        <v>538</v>
      </c>
      <c r="F82" s="12" t="s">
        <v>74</v>
      </c>
      <c r="G82" s="12" t="s">
        <v>73</v>
      </c>
      <c r="H82" s="12" t="s">
        <v>72</v>
      </c>
      <c r="I82" s="12" t="s">
        <v>537</v>
      </c>
      <c r="J82" s="12" t="s">
        <v>536</v>
      </c>
      <c r="K82" s="11"/>
      <c r="L82" s="11" t="s">
        <v>535</v>
      </c>
    </row>
    <row r="83" spans="1:14" ht="30" x14ac:dyDescent="0.2">
      <c r="A83" s="11" t="s">
        <v>534</v>
      </c>
      <c r="B83" s="43" t="s">
        <v>77</v>
      </c>
      <c r="C83" s="20" t="s">
        <v>91</v>
      </c>
      <c r="D83" s="11">
        <v>98114052</v>
      </c>
      <c r="E83" s="11" t="s">
        <v>533</v>
      </c>
      <c r="F83" s="11"/>
      <c r="G83" s="11">
        <v>97421</v>
      </c>
      <c r="H83" s="11" t="s">
        <v>286</v>
      </c>
      <c r="I83" s="11">
        <v>693205423</v>
      </c>
      <c r="J83" s="11">
        <v>692865398</v>
      </c>
      <c r="K83" s="11"/>
      <c r="L83" s="11" t="s">
        <v>532</v>
      </c>
    </row>
    <row r="84" spans="1:14" ht="30" x14ac:dyDescent="0.2">
      <c r="A84" s="12" t="s">
        <v>531</v>
      </c>
      <c r="B84" s="17" t="s">
        <v>77</v>
      </c>
      <c r="C84" s="20" t="s">
        <v>91</v>
      </c>
      <c r="D84" s="12">
        <v>98214275</v>
      </c>
      <c r="E84" s="12" t="s">
        <v>530</v>
      </c>
      <c r="F84" s="12" t="s">
        <v>529</v>
      </c>
      <c r="G84" s="12" t="s">
        <v>193</v>
      </c>
      <c r="H84" s="12" t="s">
        <v>192</v>
      </c>
      <c r="I84" s="12" t="s">
        <v>528</v>
      </c>
      <c r="J84" s="12" t="s">
        <v>527</v>
      </c>
      <c r="K84" s="11"/>
      <c r="L84" s="11" t="s">
        <v>526</v>
      </c>
    </row>
    <row r="85" spans="1:14" ht="30" x14ac:dyDescent="0.2">
      <c r="A85" s="12" t="s">
        <v>525</v>
      </c>
      <c r="B85" s="17" t="s">
        <v>77</v>
      </c>
      <c r="C85" s="28" t="s">
        <v>38</v>
      </c>
      <c r="D85" s="12">
        <v>98212219</v>
      </c>
      <c r="E85" s="12" t="s">
        <v>524</v>
      </c>
      <c r="F85" s="12" t="s">
        <v>254</v>
      </c>
      <c r="G85" s="12" t="s">
        <v>129</v>
      </c>
      <c r="H85" s="12" t="s">
        <v>38</v>
      </c>
      <c r="I85" s="12" t="s">
        <v>74</v>
      </c>
      <c r="J85" s="12" t="s">
        <v>523</v>
      </c>
      <c r="K85" s="11"/>
      <c r="L85" s="11" t="s">
        <v>522</v>
      </c>
      <c r="N85" s="15"/>
    </row>
    <row r="86" spans="1:14" ht="45" x14ac:dyDescent="0.2">
      <c r="A86" s="12" t="s">
        <v>521</v>
      </c>
      <c r="B86" s="17" t="s">
        <v>77</v>
      </c>
      <c r="C86" s="28" t="s">
        <v>38</v>
      </c>
      <c r="D86" s="12">
        <v>98012629</v>
      </c>
      <c r="E86" s="12" t="s">
        <v>520</v>
      </c>
      <c r="F86" s="12"/>
      <c r="G86" s="12" t="s">
        <v>129</v>
      </c>
      <c r="H86" s="12" t="s">
        <v>38</v>
      </c>
      <c r="I86" s="12" t="s">
        <v>519</v>
      </c>
      <c r="J86" s="12" t="s">
        <v>518</v>
      </c>
      <c r="K86" s="11"/>
      <c r="L86" s="11" t="s">
        <v>517</v>
      </c>
    </row>
    <row r="87" spans="1:14" ht="30" x14ac:dyDescent="0.2">
      <c r="A87" s="12" t="s">
        <v>516</v>
      </c>
      <c r="B87" s="17" t="s">
        <v>77</v>
      </c>
      <c r="C87" s="16" t="s">
        <v>76</v>
      </c>
      <c r="D87" s="12">
        <v>98213102</v>
      </c>
      <c r="E87" s="12" t="s">
        <v>515</v>
      </c>
      <c r="F87" s="12" t="s">
        <v>74</v>
      </c>
      <c r="G87" s="12" t="s">
        <v>330</v>
      </c>
      <c r="H87" s="12" t="s">
        <v>149</v>
      </c>
      <c r="I87" s="12" t="s">
        <v>514</v>
      </c>
      <c r="J87" s="12" t="s">
        <v>513</v>
      </c>
      <c r="K87" s="11"/>
      <c r="L87" s="11" t="s">
        <v>512</v>
      </c>
      <c r="N87" s="15"/>
    </row>
    <row r="88" spans="1:14" ht="45" x14ac:dyDescent="0.2">
      <c r="A88" s="12" t="s">
        <v>511</v>
      </c>
      <c r="B88" s="17" t="s">
        <v>77</v>
      </c>
      <c r="C88" s="10" t="s">
        <v>58</v>
      </c>
      <c r="D88" s="12">
        <v>98315097</v>
      </c>
      <c r="E88" s="12" t="s">
        <v>510</v>
      </c>
      <c r="F88" s="12" t="s">
        <v>509</v>
      </c>
      <c r="G88" s="12" t="s">
        <v>508</v>
      </c>
      <c r="H88" s="12" t="s">
        <v>507</v>
      </c>
      <c r="I88" s="12" t="s">
        <v>506</v>
      </c>
      <c r="J88" s="12" t="s">
        <v>505</v>
      </c>
      <c r="K88" s="11"/>
      <c r="L88" s="6" t="s">
        <v>504</v>
      </c>
    </row>
    <row r="89" spans="1:14" ht="30" x14ac:dyDescent="0.2">
      <c r="A89" s="12" t="s">
        <v>503</v>
      </c>
      <c r="B89" s="17" t="s">
        <v>77</v>
      </c>
      <c r="C89" s="19" t="s">
        <v>82</v>
      </c>
      <c r="D89" s="12">
        <v>98005123</v>
      </c>
      <c r="E89" s="12" t="s">
        <v>502</v>
      </c>
      <c r="F89" s="12" t="s">
        <v>383</v>
      </c>
      <c r="G89" s="12" t="s">
        <v>175</v>
      </c>
      <c r="H89" s="12" t="s">
        <v>174</v>
      </c>
      <c r="I89" s="12" t="s">
        <v>501</v>
      </c>
      <c r="J89" s="12" t="s">
        <v>500</v>
      </c>
      <c r="K89" s="11"/>
      <c r="L89" s="11"/>
      <c r="N89" s="15"/>
    </row>
    <row r="90" spans="1:14" ht="30" x14ac:dyDescent="0.2">
      <c r="A90" s="12" t="s">
        <v>499</v>
      </c>
      <c r="B90" s="17" t="s">
        <v>77</v>
      </c>
      <c r="C90" s="16" t="s">
        <v>76</v>
      </c>
      <c r="D90" s="12">
        <v>98101005</v>
      </c>
      <c r="E90" s="12" t="s">
        <v>498</v>
      </c>
      <c r="F90" s="12" t="s">
        <v>497</v>
      </c>
      <c r="G90" s="12" t="s">
        <v>73</v>
      </c>
      <c r="H90" s="12" t="s">
        <v>72</v>
      </c>
      <c r="I90" s="12" t="s">
        <v>496</v>
      </c>
      <c r="J90" s="12" t="s">
        <v>495</v>
      </c>
      <c r="K90" s="11"/>
      <c r="L90" s="11" t="s">
        <v>494</v>
      </c>
    </row>
    <row r="91" spans="1:14" ht="30" x14ac:dyDescent="0.2">
      <c r="A91" s="12" t="s">
        <v>493</v>
      </c>
      <c r="B91" s="17" t="s">
        <v>77</v>
      </c>
      <c r="C91" s="28" t="s">
        <v>38</v>
      </c>
      <c r="D91" s="12">
        <v>98012106</v>
      </c>
      <c r="E91" s="12" t="s">
        <v>492</v>
      </c>
      <c r="F91" s="12" t="s">
        <v>491</v>
      </c>
      <c r="G91" s="12" t="s">
        <v>129</v>
      </c>
      <c r="H91" s="12" t="s">
        <v>38</v>
      </c>
      <c r="I91" s="12" t="s">
        <v>490</v>
      </c>
      <c r="J91" s="12" t="s">
        <v>489</v>
      </c>
      <c r="K91" s="11"/>
      <c r="L91" s="11" t="s">
        <v>488</v>
      </c>
    </row>
    <row r="92" spans="1:14" ht="30" x14ac:dyDescent="0.2">
      <c r="A92" s="12" t="s">
        <v>487</v>
      </c>
      <c r="B92" s="17" t="s">
        <v>77</v>
      </c>
      <c r="C92" s="19" t="s">
        <v>82</v>
      </c>
      <c r="D92" s="12">
        <v>98005277</v>
      </c>
      <c r="E92" s="12" t="s">
        <v>486</v>
      </c>
      <c r="F92" s="12" t="s">
        <v>74</v>
      </c>
      <c r="G92" s="12" t="s">
        <v>175</v>
      </c>
      <c r="H92" s="12" t="s">
        <v>174</v>
      </c>
      <c r="I92" s="12" t="s">
        <v>485</v>
      </c>
      <c r="J92" s="12" t="s">
        <v>484</v>
      </c>
      <c r="K92" s="11"/>
      <c r="L92" s="11" t="s">
        <v>483</v>
      </c>
    </row>
    <row r="93" spans="1:14" ht="30" x14ac:dyDescent="0.2">
      <c r="A93" s="12" t="s">
        <v>482</v>
      </c>
      <c r="B93" s="17" t="s">
        <v>77</v>
      </c>
      <c r="C93" s="31" t="s">
        <v>156</v>
      </c>
      <c r="D93" s="12">
        <v>98209034</v>
      </c>
      <c r="E93" s="12" t="s">
        <v>481</v>
      </c>
      <c r="F93" s="12" t="s">
        <v>480</v>
      </c>
      <c r="G93" s="12" t="s">
        <v>479</v>
      </c>
      <c r="H93" s="12" t="s">
        <v>185</v>
      </c>
      <c r="I93" s="12" t="s">
        <v>478</v>
      </c>
      <c r="J93" s="12" t="s">
        <v>477</v>
      </c>
      <c r="K93" s="11"/>
      <c r="L93" s="11"/>
    </row>
    <row r="94" spans="1:14" ht="45" x14ac:dyDescent="0.2">
      <c r="A94" s="12" t="s">
        <v>476</v>
      </c>
      <c r="B94" s="17" t="s">
        <v>77</v>
      </c>
      <c r="C94" s="10" t="s">
        <v>58</v>
      </c>
      <c r="D94" s="12">
        <v>98915019</v>
      </c>
      <c r="E94" s="12" t="s">
        <v>475</v>
      </c>
      <c r="F94" s="12" t="s">
        <v>474</v>
      </c>
      <c r="G94" s="12" t="s">
        <v>473</v>
      </c>
      <c r="H94" s="12" t="s">
        <v>472</v>
      </c>
      <c r="I94" s="12" t="s">
        <v>471</v>
      </c>
      <c r="J94" s="12" t="s">
        <v>470</v>
      </c>
      <c r="K94" s="11"/>
      <c r="L94" s="11" t="s">
        <v>469</v>
      </c>
    </row>
    <row r="95" spans="1:14" ht="30" x14ac:dyDescent="0.2">
      <c r="A95" s="12" t="s">
        <v>468</v>
      </c>
      <c r="B95" s="17" t="s">
        <v>77</v>
      </c>
      <c r="C95" s="28" t="s">
        <v>38</v>
      </c>
      <c r="D95" s="12">
        <v>98212201</v>
      </c>
      <c r="E95" s="12" t="s">
        <v>465</v>
      </c>
      <c r="F95" s="12" t="s">
        <v>454</v>
      </c>
      <c r="G95" s="12" t="s">
        <v>257</v>
      </c>
      <c r="H95" s="12" t="s">
        <v>49</v>
      </c>
      <c r="I95" s="12" t="s">
        <v>464</v>
      </c>
      <c r="J95" s="12" t="s">
        <v>467</v>
      </c>
      <c r="K95" s="11"/>
      <c r="L95" s="11"/>
      <c r="N95" s="15"/>
    </row>
    <row r="96" spans="1:14" ht="30" x14ac:dyDescent="0.2">
      <c r="A96" s="12" t="s">
        <v>466</v>
      </c>
      <c r="B96" s="17" t="s">
        <v>77</v>
      </c>
      <c r="C96" s="7" t="s">
        <v>51</v>
      </c>
      <c r="D96" s="12">
        <v>98022298</v>
      </c>
      <c r="E96" s="12" t="s">
        <v>465</v>
      </c>
      <c r="F96" s="12" t="s">
        <v>454</v>
      </c>
      <c r="G96" s="12" t="s">
        <v>257</v>
      </c>
      <c r="H96" s="12" t="s">
        <v>49</v>
      </c>
      <c r="I96" s="12" t="s">
        <v>464</v>
      </c>
      <c r="J96" s="12" t="s">
        <v>463</v>
      </c>
      <c r="K96" s="11"/>
      <c r="L96" s="11" t="s">
        <v>462</v>
      </c>
      <c r="N96" s="15"/>
    </row>
    <row r="97" spans="1:14" ht="45" x14ac:dyDescent="0.2">
      <c r="A97" s="6" t="s">
        <v>461</v>
      </c>
      <c r="B97" s="57" t="s">
        <v>77</v>
      </c>
      <c r="C97" s="30" t="s">
        <v>140</v>
      </c>
      <c r="D97" s="6"/>
      <c r="E97" s="6" t="s">
        <v>460</v>
      </c>
      <c r="F97" s="6"/>
      <c r="G97" s="6">
        <v>97439</v>
      </c>
      <c r="H97" s="9" t="s">
        <v>459</v>
      </c>
      <c r="I97" s="6"/>
      <c r="J97" s="6" t="s">
        <v>458</v>
      </c>
      <c r="K97" s="6"/>
      <c r="L97" s="21" t="s">
        <v>457</v>
      </c>
    </row>
    <row r="98" spans="1:14" ht="30" x14ac:dyDescent="0.2">
      <c r="A98" s="12" t="s">
        <v>456</v>
      </c>
      <c r="B98" s="17" t="s">
        <v>77</v>
      </c>
      <c r="C98" s="7" t="s">
        <v>51</v>
      </c>
      <c r="D98" s="12">
        <v>98022614</v>
      </c>
      <c r="E98" s="12" t="s">
        <v>455</v>
      </c>
      <c r="F98" s="12" t="s">
        <v>454</v>
      </c>
      <c r="G98" s="12" t="s">
        <v>453</v>
      </c>
      <c r="H98" s="12" t="s">
        <v>49</v>
      </c>
      <c r="I98" s="12"/>
      <c r="J98" s="12" t="s">
        <v>452</v>
      </c>
      <c r="K98" s="11"/>
      <c r="L98" s="11" t="s">
        <v>451</v>
      </c>
    </row>
    <row r="99" spans="1:14" ht="30" x14ac:dyDescent="0.2">
      <c r="A99" s="12" t="s">
        <v>450</v>
      </c>
      <c r="B99" s="17" t="s">
        <v>77</v>
      </c>
      <c r="C99" s="7" t="s">
        <v>51</v>
      </c>
      <c r="D99" s="12">
        <v>98522171</v>
      </c>
      <c r="E99" s="12" t="s">
        <v>245</v>
      </c>
      <c r="F99" s="12"/>
      <c r="G99" s="12">
        <v>97418</v>
      </c>
      <c r="H99" s="12" t="s">
        <v>244</v>
      </c>
      <c r="I99" s="12"/>
      <c r="J99" s="12" t="s">
        <v>243</v>
      </c>
      <c r="K99" s="11" t="s">
        <v>242</v>
      </c>
      <c r="L99" s="11"/>
    </row>
    <row r="100" spans="1:14" ht="30" x14ac:dyDescent="0.2">
      <c r="A100" s="12" t="s">
        <v>449</v>
      </c>
      <c r="B100" s="17" t="s">
        <v>77</v>
      </c>
      <c r="C100" s="28" t="s">
        <v>38</v>
      </c>
      <c r="D100" s="12">
        <v>98012233</v>
      </c>
      <c r="E100" s="12" t="s">
        <v>448</v>
      </c>
      <c r="F100" s="12" t="s">
        <v>374</v>
      </c>
      <c r="G100" s="12" t="s">
        <v>129</v>
      </c>
      <c r="H100" s="12" t="s">
        <v>38</v>
      </c>
      <c r="I100" s="12" t="s">
        <v>447</v>
      </c>
      <c r="J100" s="12" t="s">
        <v>446</v>
      </c>
      <c r="K100" s="11"/>
      <c r="L100" s="11"/>
    </row>
    <row r="101" spans="1:14" ht="30" x14ac:dyDescent="0.2">
      <c r="A101" s="12" t="s">
        <v>445</v>
      </c>
      <c r="B101" s="17" t="s">
        <v>77</v>
      </c>
      <c r="C101" s="19" t="s">
        <v>82</v>
      </c>
      <c r="D101" s="12">
        <v>98005119</v>
      </c>
      <c r="E101" s="12" t="s">
        <v>444</v>
      </c>
      <c r="F101" s="12" t="s">
        <v>74</v>
      </c>
      <c r="G101" s="12" t="s">
        <v>175</v>
      </c>
      <c r="H101" s="12" t="s">
        <v>174</v>
      </c>
      <c r="I101" s="12" t="s">
        <v>443</v>
      </c>
      <c r="J101" s="12" t="s">
        <v>442</v>
      </c>
      <c r="K101" s="11"/>
      <c r="L101" s="11" t="s">
        <v>441</v>
      </c>
    </row>
    <row r="102" spans="1:14" ht="30" x14ac:dyDescent="0.2">
      <c r="A102" s="12" t="s">
        <v>440</v>
      </c>
      <c r="B102" s="17" t="s">
        <v>77</v>
      </c>
      <c r="C102" s="10" t="s">
        <v>58</v>
      </c>
      <c r="D102" s="12">
        <v>98715122</v>
      </c>
      <c r="E102" s="12" t="s">
        <v>439</v>
      </c>
      <c r="F102" s="12" t="s">
        <v>74</v>
      </c>
      <c r="G102" s="12" t="s">
        <v>438</v>
      </c>
      <c r="H102" s="12" t="s">
        <v>437</v>
      </c>
      <c r="I102" s="12" t="s">
        <v>436</v>
      </c>
      <c r="J102" s="12" t="s">
        <v>435</v>
      </c>
      <c r="K102" s="11"/>
      <c r="L102" s="11" t="s">
        <v>434</v>
      </c>
    </row>
    <row r="103" spans="1:14" ht="30" x14ac:dyDescent="0.2">
      <c r="A103" s="12" t="s">
        <v>433</v>
      </c>
      <c r="B103" s="17" t="s">
        <v>77</v>
      </c>
      <c r="C103" s="7" t="s">
        <v>51</v>
      </c>
      <c r="D103" s="12">
        <v>98122180</v>
      </c>
      <c r="E103" s="12" t="s">
        <v>432</v>
      </c>
      <c r="F103" s="12" t="s">
        <v>431</v>
      </c>
      <c r="G103" s="12" t="s">
        <v>257</v>
      </c>
      <c r="H103" s="12" t="s">
        <v>49</v>
      </c>
      <c r="I103" s="12" t="s">
        <v>74</v>
      </c>
      <c r="J103" s="12" t="s">
        <v>430</v>
      </c>
      <c r="K103" s="11"/>
      <c r="L103" s="11" t="s">
        <v>429</v>
      </c>
    </row>
    <row r="104" spans="1:14" ht="30" x14ac:dyDescent="0.2">
      <c r="A104" s="11" t="s">
        <v>428</v>
      </c>
      <c r="B104" s="40" t="s">
        <v>52</v>
      </c>
      <c r="C104" s="16" t="s">
        <v>76</v>
      </c>
      <c r="D104" s="11">
        <v>98313032</v>
      </c>
      <c r="E104" s="11" t="s">
        <v>427</v>
      </c>
      <c r="F104" s="11"/>
      <c r="G104" s="11">
        <v>97424</v>
      </c>
      <c r="H104" s="11" t="s">
        <v>149</v>
      </c>
      <c r="I104" s="11"/>
      <c r="J104" s="11" t="s">
        <v>426</v>
      </c>
      <c r="K104" s="11"/>
      <c r="L104" s="11" t="s">
        <v>425</v>
      </c>
      <c r="N104" s="15"/>
    </row>
    <row r="105" spans="1:14" x14ac:dyDescent="0.2">
      <c r="A105" s="56" t="s">
        <v>424</v>
      </c>
      <c r="B105" s="23" t="s">
        <v>66</v>
      </c>
      <c r="C105" s="22" t="s">
        <v>105</v>
      </c>
      <c r="D105" s="9" t="s">
        <v>423</v>
      </c>
      <c r="E105" s="9" t="s">
        <v>422</v>
      </c>
      <c r="F105" s="9"/>
      <c r="G105" s="9">
        <v>97433</v>
      </c>
      <c r="H105" s="9" t="s">
        <v>105</v>
      </c>
      <c r="I105" s="9"/>
      <c r="J105" s="9" t="s">
        <v>421</v>
      </c>
      <c r="K105" s="9" t="s">
        <v>420</v>
      </c>
      <c r="L105" s="9" t="s">
        <v>419</v>
      </c>
    </row>
    <row r="106" spans="1:14" x14ac:dyDescent="0.2">
      <c r="A106" s="44" t="s">
        <v>418</v>
      </c>
      <c r="B106" s="13" t="s">
        <v>66</v>
      </c>
      <c r="C106" s="22" t="s">
        <v>105</v>
      </c>
      <c r="D106" s="12">
        <v>98021544</v>
      </c>
      <c r="E106" s="12" t="s">
        <v>417</v>
      </c>
      <c r="F106" s="12" t="s">
        <v>106</v>
      </c>
      <c r="G106" s="12">
        <v>97433</v>
      </c>
      <c r="H106" s="12" t="s">
        <v>105</v>
      </c>
      <c r="I106" s="12"/>
      <c r="J106" s="12" t="s">
        <v>416</v>
      </c>
      <c r="K106" s="11"/>
      <c r="L106" s="6" t="s">
        <v>415</v>
      </c>
    </row>
    <row r="107" spans="1:14" x14ac:dyDescent="0.2">
      <c r="A107" s="33" t="s">
        <v>414</v>
      </c>
      <c r="B107" s="55" t="s">
        <v>52</v>
      </c>
      <c r="C107" s="34" t="s">
        <v>76</v>
      </c>
      <c r="D107" s="54">
        <v>98013081</v>
      </c>
      <c r="E107" s="33" t="s">
        <v>413</v>
      </c>
      <c r="F107" s="33" t="s">
        <v>412</v>
      </c>
      <c r="G107" s="33">
        <v>97436</v>
      </c>
      <c r="H107" s="33" t="s">
        <v>219</v>
      </c>
      <c r="I107" s="33"/>
      <c r="J107" s="33" t="s">
        <v>411</v>
      </c>
      <c r="K107" s="33"/>
      <c r="L107" s="33"/>
      <c r="M107" s="53"/>
      <c r="N107" s="53"/>
    </row>
    <row r="108" spans="1:14" ht="30" x14ac:dyDescent="0.2">
      <c r="A108" s="9" t="s">
        <v>410</v>
      </c>
      <c r="B108" s="13" t="s">
        <v>66</v>
      </c>
      <c r="C108" s="19" t="s">
        <v>82</v>
      </c>
      <c r="D108" s="12">
        <v>98016262</v>
      </c>
      <c r="E108" s="12" t="s">
        <v>409</v>
      </c>
      <c r="F108" s="9"/>
      <c r="G108" s="9">
        <v>97432</v>
      </c>
      <c r="H108" s="9" t="s">
        <v>408</v>
      </c>
      <c r="I108" s="9"/>
      <c r="J108" s="52" t="s">
        <v>407</v>
      </c>
      <c r="K108" s="9"/>
      <c r="L108" s="9"/>
    </row>
    <row r="109" spans="1:14" ht="30" x14ac:dyDescent="0.2">
      <c r="A109" s="37" t="s">
        <v>406</v>
      </c>
      <c r="B109" s="23" t="s">
        <v>66</v>
      </c>
      <c r="C109" s="7" t="s">
        <v>51</v>
      </c>
      <c r="D109" s="11">
        <v>98322135</v>
      </c>
      <c r="E109" s="11"/>
      <c r="F109" s="11"/>
      <c r="G109" s="11"/>
      <c r="H109" s="11"/>
      <c r="I109" s="11"/>
      <c r="J109" s="11" t="s">
        <v>405</v>
      </c>
      <c r="K109" s="11"/>
      <c r="L109" s="11" t="s">
        <v>404</v>
      </c>
    </row>
    <row r="110" spans="1:14" ht="30" x14ac:dyDescent="0.2">
      <c r="A110" s="12" t="s">
        <v>403</v>
      </c>
      <c r="B110" s="17" t="s">
        <v>77</v>
      </c>
      <c r="C110" s="19" t="s">
        <v>82</v>
      </c>
      <c r="D110" s="12">
        <v>98016045</v>
      </c>
      <c r="E110" s="12" t="s">
        <v>402</v>
      </c>
      <c r="F110" s="12" t="s">
        <v>230</v>
      </c>
      <c r="G110" s="12" t="s">
        <v>168</v>
      </c>
      <c r="H110" s="12" t="s">
        <v>45</v>
      </c>
      <c r="I110" s="12" t="s">
        <v>401</v>
      </c>
      <c r="J110" s="12" t="s">
        <v>400</v>
      </c>
      <c r="K110" s="11"/>
      <c r="L110" s="11"/>
    </row>
    <row r="111" spans="1:14" ht="30" x14ac:dyDescent="0.2">
      <c r="A111" s="12" t="s">
        <v>399</v>
      </c>
      <c r="B111" s="17" t="s">
        <v>77</v>
      </c>
      <c r="C111" s="28" t="s">
        <v>38</v>
      </c>
      <c r="D111" s="12">
        <v>98012238</v>
      </c>
      <c r="E111" s="12" t="s">
        <v>398</v>
      </c>
      <c r="F111" s="12" t="s">
        <v>397</v>
      </c>
      <c r="G111" s="12" t="s">
        <v>129</v>
      </c>
      <c r="H111" s="12" t="s">
        <v>38</v>
      </c>
      <c r="I111" s="12" t="s">
        <v>396</v>
      </c>
      <c r="J111" s="12" t="s">
        <v>395</v>
      </c>
      <c r="K111" s="11" t="s">
        <v>394</v>
      </c>
      <c r="L111" s="11" t="s">
        <v>393</v>
      </c>
    </row>
    <row r="112" spans="1:14" ht="30" x14ac:dyDescent="0.2">
      <c r="A112" s="12" t="s">
        <v>392</v>
      </c>
      <c r="B112" s="17" t="s">
        <v>77</v>
      </c>
      <c r="C112" s="19" t="s">
        <v>82</v>
      </c>
      <c r="D112" s="12">
        <v>98516012</v>
      </c>
      <c r="E112" s="12" t="s">
        <v>391</v>
      </c>
      <c r="F112" s="12" t="s">
        <v>390</v>
      </c>
      <c r="G112" s="12" t="s">
        <v>168</v>
      </c>
      <c r="H112" s="12" t="s">
        <v>45</v>
      </c>
      <c r="I112" s="12" t="s">
        <v>389</v>
      </c>
      <c r="J112" s="12" t="s">
        <v>388</v>
      </c>
      <c r="K112" s="11" t="s">
        <v>387</v>
      </c>
      <c r="L112" s="11" t="s">
        <v>386</v>
      </c>
    </row>
    <row r="113" spans="1:14" ht="30" x14ac:dyDescent="0.2">
      <c r="A113" s="12" t="s">
        <v>385</v>
      </c>
      <c r="B113" s="17" t="s">
        <v>77</v>
      </c>
      <c r="C113" s="19" t="s">
        <v>82</v>
      </c>
      <c r="D113" s="12"/>
      <c r="E113" s="12" t="s">
        <v>384</v>
      </c>
      <c r="F113" s="12" t="s">
        <v>383</v>
      </c>
      <c r="G113" s="12" t="s">
        <v>175</v>
      </c>
      <c r="H113" s="12" t="s">
        <v>174</v>
      </c>
      <c r="I113" s="12" t="s">
        <v>382</v>
      </c>
      <c r="J113" s="12" t="s">
        <v>381</v>
      </c>
      <c r="K113" s="11"/>
      <c r="L113" s="11"/>
      <c r="N113" s="15"/>
    </row>
    <row r="114" spans="1:14" x14ac:dyDescent="0.2">
      <c r="A114" s="44" t="s">
        <v>380</v>
      </c>
      <c r="B114" s="17" t="s">
        <v>77</v>
      </c>
      <c r="C114" s="22" t="s">
        <v>105</v>
      </c>
      <c r="D114" s="12">
        <v>98021559</v>
      </c>
      <c r="E114" s="12" t="s">
        <v>379</v>
      </c>
      <c r="F114" s="12" t="s">
        <v>106</v>
      </c>
      <c r="G114" s="12" t="s">
        <v>111</v>
      </c>
      <c r="H114" s="12" t="s">
        <v>105</v>
      </c>
      <c r="I114" s="12" t="s">
        <v>378</v>
      </c>
      <c r="J114" s="12" t="s">
        <v>377</v>
      </c>
      <c r="K114" s="11"/>
      <c r="L114" s="11"/>
    </row>
    <row r="115" spans="1:14" ht="30" x14ac:dyDescent="0.2">
      <c r="A115" s="12" t="s">
        <v>376</v>
      </c>
      <c r="B115" s="17" t="s">
        <v>77</v>
      </c>
      <c r="C115" s="28" t="s">
        <v>38</v>
      </c>
      <c r="D115" s="12"/>
      <c r="E115" s="12" t="s">
        <v>375</v>
      </c>
      <c r="F115" s="12" t="s">
        <v>374</v>
      </c>
      <c r="G115" s="12" t="s">
        <v>129</v>
      </c>
      <c r="H115" s="12" t="s">
        <v>38</v>
      </c>
      <c r="I115" s="12"/>
      <c r="J115" s="12" t="s">
        <v>373</v>
      </c>
      <c r="K115" s="11"/>
      <c r="L115" s="11" t="s">
        <v>372</v>
      </c>
    </row>
    <row r="116" spans="1:14" ht="30" x14ac:dyDescent="0.2">
      <c r="A116" s="12" t="s">
        <v>371</v>
      </c>
      <c r="B116" s="17" t="s">
        <v>77</v>
      </c>
      <c r="C116" s="28" t="s">
        <v>38</v>
      </c>
      <c r="D116" s="12">
        <v>98012251</v>
      </c>
      <c r="E116" s="12" t="s">
        <v>370</v>
      </c>
      <c r="F116" s="12" t="s">
        <v>74</v>
      </c>
      <c r="G116" s="12" t="s">
        <v>129</v>
      </c>
      <c r="H116" s="12" t="s">
        <v>38</v>
      </c>
      <c r="I116" s="12" t="s">
        <v>369</v>
      </c>
      <c r="J116" s="12" t="s">
        <v>368</v>
      </c>
      <c r="K116" s="11"/>
      <c r="L116" s="11" t="s">
        <v>367</v>
      </c>
    </row>
    <row r="117" spans="1:14" x14ac:dyDescent="0.2">
      <c r="A117" s="51" t="s">
        <v>366</v>
      </c>
      <c r="B117" s="17" t="s">
        <v>77</v>
      </c>
      <c r="C117" s="22" t="s">
        <v>105</v>
      </c>
      <c r="D117" s="12">
        <v>98021568</v>
      </c>
      <c r="E117" s="12" t="s">
        <v>365</v>
      </c>
      <c r="F117" s="12" t="s">
        <v>106</v>
      </c>
      <c r="G117" s="12" t="s">
        <v>111</v>
      </c>
      <c r="H117" s="12" t="s">
        <v>105</v>
      </c>
      <c r="I117" s="12" t="s">
        <v>364</v>
      </c>
      <c r="J117" s="12" t="s">
        <v>363</v>
      </c>
      <c r="K117" s="11"/>
      <c r="L117" s="11"/>
      <c r="N117" s="15"/>
    </row>
    <row r="118" spans="1:14" ht="30" x14ac:dyDescent="0.2">
      <c r="A118" s="50" t="s">
        <v>362</v>
      </c>
      <c r="B118" s="13" t="s">
        <v>66</v>
      </c>
      <c r="C118" s="22" t="s">
        <v>105</v>
      </c>
      <c r="D118" s="12">
        <v>98021728</v>
      </c>
      <c r="E118" s="12" t="s">
        <v>361</v>
      </c>
      <c r="F118" s="12"/>
      <c r="G118" s="12">
        <v>97440</v>
      </c>
      <c r="H118" s="12" t="s">
        <v>185</v>
      </c>
      <c r="I118" s="12" t="s">
        <v>358</v>
      </c>
      <c r="J118" s="12" t="s">
        <v>357</v>
      </c>
      <c r="K118" s="11"/>
      <c r="L118" s="11" t="s">
        <v>356</v>
      </c>
      <c r="N118" s="15"/>
    </row>
    <row r="119" spans="1:14" ht="30" x14ac:dyDescent="0.2">
      <c r="A119" s="44" t="s">
        <v>360</v>
      </c>
      <c r="B119" s="13" t="s">
        <v>66</v>
      </c>
      <c r="C119" s="31" t="s">
        <v>156</v>
      </c>
      <c r="D119" s="12">
        <v>98009107</v>
      </c>
      <c r="E119" s="12" t="s">
        <v>359</v>
      </c>
      <c r="F119" s="12"/>
      <c r="G119" s="12">
        <v>97440</v>
      </c>
      <c r="H119" s="12" t="s">
        <v>185</v>
      </c>
      <c r="I119" s="12" t="s">
        <v>358</v>
      </c>
      <c r="J119" s="12" t="s">
        <v>357</v>
      </c>
      <c r="K119" s="11"/>
      <c r="L119" s="11" t="s">
        <v>356</v>
      </c>
      <c r="N119" s="32"/>
    </row>
    <row r="120" spans="1:14" ht="30" x14ac:dyDescent="0.2">
      <c r="A120" s="12" t="s">
        <v>46</v>
      </c>
      <c r="B120" s="17" t="s">
        <v>77</v>
      </c>
      <c r="C120" s="19" t="s">
        <v>82</v>
      </c>
      <c r="D120" s="12">
        <v>98016602</v>
      </c>
      <c r="E120" s="12" t="s">
        <v>355</v>
      </c>
      <c r="F120" s="12"/>
      <c r="G120" s="12">
        <v>97410</v>
      </c>
      <c r="H120" s="12" t="s">
        <v>45</v>
      </c>
      <c r="I120" s="12"/>
      <c r="J120" s="12" t="s">
        <v>354</v>
      </c>
      <c r="K120" s="11"/>
      <c r="L120" s="18" t="s">
        <v>353</v>
      </c>
      <c r="M120" s="15"/>
    </row>
    <row r="121" spans="1:14" ht="30" x14ac:dyDescent="0.2">
      <c r="A121" s="12" t="s">
        <v>352</v>
      </c>
      <c r="B121" s="17" t="s">
        <v>77</v>
      </c>
      <c r="C121" s="28" t="s">
        <v>38</v>
      </c>
      <c r="D121" s="12">
        <v>98212198</v>
      </c>
      <c r="E121" s="12" t="s">
        <v>351</v>
      </c>
      <c r="F121" s="12" t="s">
        <v>254</v>
      </c>
      <c r="G121" s="12" t="s">
        <v>129</v>
      </c>
      <c r="H121" s="12" t="s">
        <v>38</v>
      </c>
      <c r="I121" s="12" t="s">
        <v>350</v>
      </c>
      <c r="J121" s="12" t="s">
        <v>349</v>
      </c>
      <c r="K121" s="11" t="s">
        <v>348</v>
      </c>
      <c r="L121" s="6" t="s">
        <v>347</v>
      </c>
    </row>
    <row r="122" spans="1:14" ht="30" x14ac:dyDescent="0.2">
      <c r="A122" s="12" t="s">
        <v>346</v>
      </c>
      <c r="B122" s="17" t="s">
        <v>77</v>
      </c>
      <c r="C122" s="28" t="s">
        <v>38</v>
      </c>
      <c r="D122" s="12">
        <v>98012066</v>
      </c>
      <c r="E122" s="12" t="s">
        <v>345</v>
      </c>
      <c r="F122" s="12" t="s">
        <v>344</v>
      </c>
      <c r="G122" s="12" t="s">
        <v>129</v>
      </c>
      <c r="H122" s="12" t="s">
        <v>38</v>
      </c>
      <c r="I122" s="12" t="s">
        <v>74</v>
      </c>
      <c r="J122" s="12" t="s">
        <v>343</v>
      </c>
      <c r="K122" s="11"/>
      <c r="L122" s="11" t="s">
        <v>342</v>
      </c>
    </row>
    <row r="123" spans="1:14" ht="30" x14ac:dyDescent="0.2">
      <c r="A123" s="12" t="s">
        <v>341</v>
      </c>
      <c r="B123" s="13" t="s">
        <v>66</v>
      </c>
      <c r="C123" s="28" t="s">
        <v>38</v>
      </c>
      <c r="D123" s="12">
        <v>98212161</v>
      </c>
      <c r="E123" s="12" t="s">
        <v>340</v>
      </c>
      <c r="F123" s="12" t="s">
        <v>339</v>
      </c>
      <c r="G123" s="12" t="s">
        <v>129</v>
      </c>
      <c r="H123" s="12" t="s">
        <v>38</v>
      </c>
      <c r="I123" s="12" t="s">
        <v>74</v>
      </c>
      <c r="J123" s="12" t="s">
        <v>338</v>
      </c>
      <c r="K123" s="11"/>
      <c r="L123" s="11" t="s">
        <v>337</v>
      </c>
    </row>
    <row r="124" spans="1:14" ht="30" x14ac:dyDescent="0.2">
      <c r="A124" s="12" t="s">
        <v>336</v>
      </c>
      <c r="B124" s="17" t="s">
        <v>77</v>
      </c>
      <c r="C124" s="28" t="s">
        <v>38</v>
      </c>
      <c r="D124" s="12">
        <v>98012297</v>
      </c>
      <c r="E124" s="12" t="s">
        <v>335</v>
      </c>
      <c r="F124" s="12" t="s">
        <v>130</v>
      </c>
      <c r="G124" s="12" t="s">
        <v>129</v>
      </c>
      <c r="H124" s="12" t="s">
        <v>38</v>
      </c>
      <c r="I124" s="12" t="s">
        <v>334</v>
      </c>
      <c r="J124" s="12" t="s">
        <v>333</v>
      </c>
      <c r="K124" s="11"/>
      <c r="L124" s="11"/>
    </row>
    <row r="125" spans="1:14" ht="30" x14ac:dyDescent="0.2">
      <c r="A125" s="12" t="s">
        <v>332</v>
      </c>
      <c r="B125" s="17" t="s">
        <v>77</v>
      </c>
      <c r="C125" s="16" t="s">
        <v>76</v>
      </c>
      <c r="D125" s="12">
        <v>98213104</v>
      </c>
      <c r="E125" s="12" t="s">
        <v>331</v>
      </c>
      <c r="F125" s="12" t="s">
        <v>74</v>
      </c>
      <c r="G125" s="12" t="s">
        <v>330</v>
      </c>
      <c r="H125" s="12" t="s">
        <v>149</v>
      </c>
      <c r="I125" s="12" t="s">
        <v>329</v>
      </c>
      <c r="J125" s="12" t="s">
        <v>328</v>
      </c>
      <c r="K125" s="11"/>
      <c r="L125" s="11" t="s">
        <v>327</v>
      </c>
    </row>
    <row r="126" spans="1:14" x14ac:dyDescent="0.2">
      <c r="A126" s="6" t="s">
        <v>326</v>
      </c>
      <c r="B126" s="39" t="s">
        <v>66</v>
      </c>
      <c r="C126" s="28" t="s">
        <v>38</v>
      </c>
      <c r="D126" s="6"/>
      <c r="E126" s="6"/>
      <c r="F126" s="6"/>
      <c r="G126" s="6"/>
      <c r="H126" s="6"/>
      <c r="I126" s="6"/>
      <c r="J126" s="49" t="s">
        <v>325</v>
      </c>
      <c r="K126" s="6"/>
      <c r="L126" s="21" t="s">
        <v>324</v>
      </c>
      <c r="M126" s="48"/>
    </row>
    <row r="127" spans="1:14" ht="30" x14ac:dyDescent="0.2">
      <c r="A127" s="12" t="s">
        <v>323</v>
      </c>
      <c r="B127" s="17" t="s">
        <v>77</v>
      </c>
      <c r="C127" s="28" t="s">
        <v>38</v>
      </c>
      <c r="D127" s="12">
        <v>98012022</v>
      </c>
      <c r="E127" s="12" t="s">
        <v>322</v>
      </c>
      <c r="F127" s="12" t="s">
        <v>74</v>
      </c>
      <c r="G127" s="12" t="s">
        <v>129</v>
      </c>
      <c r="H127" s="12" t="s">
        <v>38</v>
      </c>
      <c r="I127" s="12" t="s">
        <v>321</v>
      </c>
      <c r="J127" s="12" t="s">
        <v>320</v>
      </c>
      <c r="K127" s="11"/>
      <c r="L127" s="11" t="s">
        <v>319</v>
      </c>
    </row>
    <row r="128" spans="1:14" ht="30" x14ac:dyDescent="0.2">
      <c r="A128" s="9" t="s">
        <v>318</v>
      </c>
      <c r="B128" s="8" t="s">
        <v>52</v>
      </c>
      <c r="C128" s="7" t="s">
        <v>51</v>
      </c>
      <c r="D128" s="9">
        <v>98122230</v>
      </c>
      <c r="E128" s="9" t="s">
        <v>317</v>
      </c>
      <c r="F128" s="9"/>
      <c r="G128" s="9">
        <v>97418</v>
      </c>
      <c r="H128" s="9" t="s">
        <v>206</v>
      </c>
      <c r="I128" s="9"/>
      <c r="J128" s="9" t="s">
        <v>316</v>
      </c>
      <c r="K128" s="9"/>
      <c r="L128" s="9"/>
    </row>
    <row r="129" spans="1:14" ht="45" x14ac:dyDescent="0.2">
      <c r="A129" s="12" t="s">
        <v>315</v>
      </c>
      <c r="B129" s="13" t="s">
        <v>66</v>
      </c>
      <c r="C129" s="19" t="s">
        <v>82</v>
      </c>
      <c r="D129" s="14">
        <v>98016274</v>
      </c>
      <c r="E129" s="14" t="s">
        <v>314</v>
      </c>
      <c r="F129" s="14" t="s">
        <v>313</v>
      </c>
      <c r="G129" s="14" t="s">
        <v>168</v>
      </c>
      <c r="H129" s="14" t="s">
        <v>45</v>
      </c>
      <c r="I129" s="14" t="s">
        <v>312</v>
      </c>
      <c r="J129" s="14" t="s">
        <v>311</v>
      </c>
      <c r="K129" s="37"/>
      <c r="L129" s="37"/>
      <c r="M129" s="15"/>
    </row>
    <row r="130" spans="1:14" ht="30" x14ac:dyDescent="0.2">
      <c r="A130" s="12" t="s">
        <v>310</v>
      </c>
      <c r="B130" s="47" t="s">
        <v>77</v>
      </c>
      <c r="C130" s="19" t="s">
        <v>82</v>
      </c>
      <c r="D130" s="14">
        <v>98316189</v>
      </c>
      <c r="E130" s="14" t="s">
        <v>309</v>
      </c>
      <c r="F130" s="14" t="s">
        <v>308</v>
      </c>
      <c r="G130" s="14" t="s">
        <v>168</v>
      </c>
      <c r="H130" s="14" t="s">
        <v>45</v>
      </c>
      <c r="I130" s="14"/>
      <c r="J130" s="14" t="s">
        <v>307</v>
      </c>
      <c r="K130" s="37"/>
      <c r="L130" s="11" t="s">
        <v>306</v>
      </c>
    </row>
    <row r="131" spans="1:14" ht="45" x14ac:dyDescent="0.2">
      <c r="A131" s="12" t="s">
        <v>305</v>
      </c>
      <c r="B131" s="17" t="s">
        <v>77</v>
      </c>
      <c r="C131" s="30" t="s">
        <v>140</v>
      </c>
      <c r="D131" s="12">
        <v>98110062</v>
      </c>
      <c r="E131" s="12" t="s">
        <v>304</v>
      </c>
      <c r="F131" s="12" t="s">
        <v>303</v>
      </c>
      <c r="G131" s="12" t="s">
        <v>138</v>
      </c>
      <c r="H131" s="12" t="s">
        <v>137</v>
      </c>
      <c r="I131" s="12" t="s">
        <v>302</v>
      </c>
      <c r="J131" s="12" t="s">
        <v>301</v>
      </c>
      <c r="K131" s="11"/>
      <c r="L131" s="11" t="s">
        <v>300</v>
      </c>
    </row>
    <row r="132" spans="1:14" ht="45" x14ac:dyDescent="0.2">
      <c r="A132" s="12" t="s">
        <v>299</v>
      </c>
      <c r="B132" s="17" t="s">
        <v>77</v>
      </c>
      <c r="C132" s="30" t="s">
        <v>140</v>
      </c>
      <c r="D132" s="12">
        <v>98110063</v>
      </c>
      <c r="E132" s="12" t="s">
        <v>298</v>
      </c>
      <c r="F132" s="12" t="s">
        <v>297</v>
      </c>
      <c r="G132" s="12" t="s">
        <v>138</v>
      </c>
      <c r="H132" s="12" t="s">
        <v>137</v>
      </c>
      <c r="I132" s="12" t="s">
        <v>296</v>
      </c>
      <c r="J132" s="12" t="s">
        <v>295</v>
      </c>
      <c r="K132" s="11" t="s">
        <v>294</v>
      </c>
      <c r="L132" s="11" t="s">
        <v>293</v>
      </c>
    </row>
    <row r="133" spans="1:14" x14ac:dyDescent="0.2">
      <c r="A133" s="9" t="s">
        <v>292</v>
      </c>
      <c r="B133" s="8" t="s">
        <v>52</v>
      </c>
      <c r="C133" s="16" t="s">
        <v>76</v>
      </c>
      <c r="D133" s="9">
        <v>98013094</v>
      </c>
      <c r="E133" s="9" t="s">
        <v>291</v>
      </c>
      <c r="F133" s="9"/>
      <c r="G133" s="9"/>
      <c r="H133" s="9" t="s">
        <v>290</v>
      </c>
      <c r="I133" s="9"/>
      <c r="J133" s="9" t="s">
        <v>289</v>
      </c>
      <c r="K133" s="9"/>
      <c r="L133" s="9"/>
      <c r="N133" s="15"/>
    </row>
    <row r="134" spans="1:14" ht="30" x14ac:dyDescent="0.2">
      <c r="A134" s="12" t="s">
        <v>288</v>
      </c>
      <c r="B134" s="17" t="s">
        <v>77</v>
      </c>
      <c r="C134" s="20" t="s">
        <v>91</v>
      </c>
      <c r="D134" s="12">
        <v>98214274</v>
      </c>
      <c r="E134" s="12" t="s">
        <v>287</v>
      </c>
      <c r="F134" s="12" t="s">
        <v>194</v>
      </c>
      <c r="G134" s="12" t="s">
        <v>193</v>
      </c>
      <c r="H134" s="12" t="s">
        <v>286</v>
      </c>
      <c r="I134" s="12" t="s">
        <v>74</v>
      </c>
      <c r="J134" s="12" t="s">
        <v>285</v>
      </c>
      <c r="K134" s="11"/>
      <c r="L134" s="11" t="s">
        <v>284</v>
      </c>
      <c r="N134" s="46"/>
    </row>
    <row r="135" spans="1:14" ht="30" x14ac:dyDescent="0.2">
      <c r="A135" s="44" t="s">
        <v>283</v>
      </c>
      <c r="B135" s="17" t="s">
        <v>77</v>
      </c>
      <c r="C135" s="22" t="s">
        <v>105</v>
      </c>
      <c r="D135" s="12">
        <v>98021477</v>
      </c>
      <c r="E135" s="12" t="s">
        <v>282</v>
      </c>
      <c r="F135" s="12" t="s">
        <v>106</v>
      </c>
      <c r="G135" s="12" t="s">
        <v>111</v>
      </c>
      <c r="H135" s="12" t="s">
        <v>105</v>
      </c>
      <c r="I135" s="12" t="s">
        <v>281</v>
      </c>
      <c r="J135" s="12" t="s">
        <v>280</v>
      </c>
      <c r="K135" s="11"/>
      <c r="L135" s="11" t="s">
        <v>279</v>
      </c>
    </row>
    <row r="136" spans="1:14" ht="30" x14ac:dyDescent="0.2">
      <c r="A136" s="44" t="s">
        <v>278</v>
      </c>
      <c r="B136" s="13" t="s">
        <v>66</v>
      </c>
      <c r="C136" s="22" t="s">
        <v>105</v>
      </c>
      <c r="D136" s="12">
        <v>98021543</v>
      </c>
      <c r="E136" s="12" t="s">
        <v>277</v>
      </c>
      <c r="F136" s="12" t="s">
        <v>106</v>
      </c>
      <c r="G136" s="12">
        <v>97433</v>
      </c>
      <c r="H136" s="12" t="s">
        <v>105</v>
      </c>
      <c r="I136" s="12" t="s">
        <v>276</v>
      </c>
      <c r="J136" s="12" t="s">
        <v>275</v>
      </c>
      <c r="K136" s="11"/>
      <c r="L136" s="11" t="s">
        <v>274</v>
      </c>
    </row>
    <row r="137" spans="1:14" ht="45" x14ac:dyDescent="0.2">
      <c r="A137" s="12" t="s">
        <v>273</v>
      </c>
      <c r="B137" s="17" t="s">
        <v>77</v>
      </c>
      <c r="C137" s="30" t="s">
        <v>140</v>
      </c>
      <c r="D137" s="12">
        <v>98110003</v>
      </c>
      <c r="E137" s="12" t="s">
        <v>272</v>
      </c>
      <c r="F137" s="12" t="s">
        <v>271</v>
      </c>
      <c r="G137" s="12" t="s">
        <v>138</v>
      </c>
      <c r="H137" s="12" t="s">
        <v>137</v>
      </c>
      <c r="I137" s="12" t="s">
        <v>270</v>
      </c>
      <c r="J137" s="12" t="s">
        <v>269</v>
      </c>
      <c r="K137" s="11"/>
      <c r="L137" s="11" t="s">
        <v>268</v>
      </c>
    </row>
    <row r="138" spans="1:14" ht="30" x14ac:dyDescent="0.2">
      <c r="A138" s="12" t="s">
        <v>267</v>
      </c>
      <c r="B138" s="17" t="s">
        <v>77</v>
      </c>
      <c r="C138" s="7" t="s">
        <v>51</v>
      </c>
      <c r="D138" s="12">
        <v>98222017</v>
      </c>
      <c r="E138" s="12" t="s">
        <v>266</v>
      </c>
      <c r="F138" s="12"/>
      <c r="G138" s="12">
        <v>97430</v>
      </c>
      <c r="H138" s="12" t="s">
        <v>49</v>
      </c>
      <c r="I138" s="12" t="s">
        <v>265</v>
      </c>
      <c r="J138" s="12" t="s">
        <v>264</v>
      </c>
      <c r="K138" s="11"/>
      <c r="L138" s="11" t="s">
        <v>263</v>
      </c>
    </row>
    <row r="139" spans="1:14" ht="30" x14ac:dyDescent="0.2">
      <c r="A139" s="12" t="s">
        <v>262</v>
      </c>
      <c r="B139" s="17" t="s">
        <v>77</v>
      </c>
      <c r="C139" s="7" t="s">
        <v>51</v>
      </c>
      <c r="D139" s="12">
        <v>98422149</v>
      </c>
      <c r="E139" s="12" t="s">
        <v>258</v>
      </c>
      <c r="F139" s="12"/>
      <c r="G139" s="12" t="s">
        <v>257</v>
      </c>
      <c r="H139" s="12" t="s">
        <v>49</v>
      </c>
      <c r="I139" s="12" t="s">
        <v>261</v>
      </c>
      <c r="J139" s="12" t="s">
        <v>260</v>
      </c>
      <c r="K139" s="11"/>
      <c r="L139" s="11"/>
    </row>
    <row r="140" spans="1:14" s="45" customFormat="1" ht="30" x14ac:dyDescent="0.2">
      <c r="A140" s="12" t="s">
        <v>259</v>
      </c>
      <c r="B140" s="17" t="s">
        <v>77</v>
      </c>
      <c r="C140" s="7" t="s">
        <v>51</v>
      </c>
      <c r="D140" s="12">
        <v>98022417</v>
      </c>
      <c r="E140" s="12" t="s">
        <v>258</v>
      </c>
      <c r="F140" s="12"/>
      <c r="G140" s="12" t="s">
        <v>257</v>
      </c>
      <c r="H140" s="12" t="s">
        <v>49</v>
      </c>
      <c r="I140" s="12"/>
      <c r="J140" s="12"/>
      <c r="K140" s="11"/>
      <c r="L140" s="11"/>
      <c r="M140" s="4"/>
      <c r="N140" s="4"/>
    </row>
    <row r="141" spans="1:14" ht="30" x14ac:dyDescent="0.2">
      <c r="A141" s="12" t="s">
        <v>256</v>
      </c>
      <c r="B141" s="17" t="s">
        <v>77</v>
      </c>
      <c r="C141" s="28" t="s">
        <v>38</v>
      </c>
      <c r="D141" s="12">
        <v>98212238</v>
      </c>
      <c r="E141" s="12" t="s">
        <v>255</v>
      </c>
      <c r="F141" s="12" t="s">
        <v>254</v>
      </c>
      <c r="G141" s="12" t="s">
        <v>129</v>
      </c>
      <c r="H141" s="12" t="s">
        <v>38</v>
      </c>
      <c r="I141" s="12" t="s">
        <v>253</v>
      </c>
      <c r="J141" s="12" t="s">
        <v>252</v>
      </c>
      <c r="K141" s="11"/>
      <c r="L141" s="37"/>
    </row>
    <row r="142" spans="1:14" ht="30" x14ac:dyDescent="0.2">
      <c r="A142" s="12" t="s">
        <v>251</v>
      </c>
      <c r="B142" s="17" t="s">
        <v>77</v>
      </c>
      <c r="C142" s="10" t="s">
        <v>58</v>
      </c>
      <c r="D142" s="12">
        <v>98023221</v>
      </c>
      <c r="E142" s="12" t="s">
        <v>250</v>
      </c>
      <c r="F142" s="12" t="s">
        <v>74</v>
      </c>
      <c r="G142" s="12" t="s">
        <v>95</v>
      </c>
      <c r="H142" s="12" t="s">
        <v>94</v>
      </c>
      <c r="I142" s="12" t="s">
        <v>249</v>
      </c>
      <c r="J142" s="12" t="s">
        <v>248</v>
      </c>
      <c r="K142" s="11"/>
      <c r="L142" s="11" t="s">
        <v>247</v>
      </c>
      <c r="M142" s="15"/>
    </row>
    <row r="143" spans="1:14" ht="30" x14ac:dyDescent="0.2">
      <c r="A143" s="44" t="s">
        <v>246</v>
      </c>
      <c r="B143" s="17" t="s">
        <v>77</v>
      </c>
      <c r="C143" s="44" t="s">
        <v>105</v>
      </c>
      <c r="D143" s="12">
        <v>98021407</v>
      </c>
      <c r="E143" s="12" t="s">
        <v>245</v>
      </c>
      <c r="F143" s="12"/>
      <c r="G143" s="12">
        <v>97418</v>
      </c>
      <c r="H143" s="12" t="s">
        <v>244</v>
      </c>
      <c r="I143" s="12"/>
      <c r="J143" s="12" t="s">
        <v>243</v>
      </c>
      <c r="K143" s="11" t="s">
        <v>242</v>
      </c>
      <c r="L143" s="11"/>
    </row>
    <row r="144" spans="1:14" ht="30" x14ac:dyDescent="0.2">
      <c r="A144" s="11" t="s">
        <v>241</v>
      </c>
      <c r="B144" s="43" t="s">
        <v>77</v>
      </c>
      <c r="C144" s="42" t="s">
        <v>239</v>
      </c>
      <c r="D144" s="11"/>
      <c r="E144" s="11" t="s">
        <v>240</v>
      </c>
      <c r="F144" s="11"/>
      <c r="G144" s="11">
        <v>97442</v>
      </c>
      <c r="H144" s="11" t="s">
        <v>239</v>
      </c>
      <c r="I144" s="11"/>
      <c r="J144" s="11" t="s">
        <v>238</v>
      </c>
      <c r="K144" s="11"/>
      <c r="L144" s="11"/>
      <c r="M144" s="15"/>
      <c r="N144" s="15"/>
    </row>
    <row r="145" spans="1:14" ht="30" x14ac:dyDescent="0.2">
      <c r="A145" s="34" t="s">
        <v>237</v>
      </c>
      <c r="B145" s="41" t="s">
        <v>77</v>
      </c>
      <c r="C145" s="34" t="s">
        <v>156</v>
      </c>
      <c r="D145" s="34">
        <v>98020161</v>
      </c>
      <c r="E145" s="34" t="s">
        <v>236</v>
      </c>
      <c r="F145" s="34" t="s">
        <v>74</v>
      </c>
      <c r="G145" s="34" t="s">
        <v>235</v>
      </c>
      <c r="H145" s="34" t="s">
        <v>234</v>
      </c>
      <c r="I145" s="34"/>
      <c r="J145" s="34" t="s">
        <v>233</v>
      </c>
      <c r="K145" s="33"/>
      <c r="L145" s="33"/>
    </row>
    <row r="146" spans="1:14" ht="30" x14ac:dyDescent="0.2">
      <c r="A146" s="12" t="s">
        <v>232</v>
      </c>
      <c r="B146" s="17" t="s">
        <v>77</v>
      </c>
      <c r="C146" s="19" t="s">
        <v>82</v>
      </c>
      <c r="D146" s="12">
        <v>98016076</v>
      </c>
      <c r="E146" s="12" t="s">
        <v>231</v>
      </c>
      <c r="F146" s="12" t="s">
        <v>230</v>
      </c>
      <c r="G146" s="12" t="s">
        <v>168</v>
      </c>
      <c r="H146" s="12" t="s">
        <v>45</v>
      </c>
      <c r="I146" s="12" t="s">
        <v>229</v>
      </c>
      <c r="J146" s="12" t="s">
        <v>228</v>
      </c>
      <c r="K146" s="11"/>
      <c r="L146" s="11" t="s">
        <v>227</v>
      </c>
      <c r="M146" s="15"/>
    </row>
    <row r="147" spans="1:14" ht="30" x14ac:dyDescent="0.2">
      <c r="A147" s="12" t="s">
        <v>226</v>
      </c>
      <c r="B147" s="17" t="s">
        <v>77</v>
      </c>
      <c r="C147" s="28" t="s">
        <v>38</v>
      </c>
      <c r="D147" s="12">
        <v>98012234</v>
      </c>
      <c r="E147" s="12" t="s">
        <v>225</v>
      </c>
      <c r="F147" s="12" t="s">
        <v>224</v>
      </c>
      <c r="G147" s="12" t="s">
        <v>129</v>
      </c>
      <c r="H147" s="12" t="s">
        <v>38</v>
      </c>
      <c r="I147" s="12" t="s">
        <v>223</v>
      </c>
      <c r="J147" s="12" t="s">
        <v>222</v>
      </c>
      <c r="K147" s="11"/>
      <c r="L147" s="11"/>
      <c r="M147" s="15"/>
    </row>
    <row r="148" spans="1:14" x14ac:dyDescent="0.2">
      <c r="A148" s="11" t="s">
        <v>221</v>
      </c>
      <c r="B148" s="40" t="s">
        <v>52</v>
      </c>
      <c r="C148" s="16" t="s">
        <v>76</v>
      </c>
      <c r="D148" s="11">
        <v>98013092</v>
      </c>
      <c r="E148" s="11" t="s">
        <v>220</v>
      </c>
      <c r="F148" s="11"/>
      <c r="G148" s="11">
        <v>97436</v>
      </c>
      <c r="H148" s="11" t="s">
        <v>219</v>
      </c>
      <c r="I148" s="11" t="s">
        <v>218</v>
      </c>
      <c r="J148" s="11" t="s">
        <v>217</v>
      </c>
      <c r="K148" s="11"/>
      <c r="L148" s="11" t="s">
        <v>216</v>
      </c>
      <c r="M148" s="15"/>
      <c r="N148" s="15"/>
    </row>
    <row r="149" spans="1:14" ht="30" x14ac:dyDescent="0.2">
      <c r="A149" s="12" t="s">
        <v>215</v>
      </c>
      <c r="B149" s="17" t="s">
        <v>77</v>
      </c>
      <c r="C149" s="28" t="s">
        <v>38</v>
      </c>
      <c r="D149" s="12">
        <v>98212047</v>
      </c>
      <c r="E149" s="12" t="s">
        <v>214</v>
      </c>
      <c r="F149" s="12" t="s">
        <v>74</v>
      </c>
      <c r="G149" s="12" t="s">
        <v>129</v>
      </c>
      <c r="H149" s="12" t="s">
        <v>38</v>
      </c>
      <c r="I149" s="12" t="s">
        <v>213</v>
      </c>
      <c r="J149" s="12" t="s">
        <v>212</v>
      </c>
      <c r="K149" s="11"/>
      <c r="L149" s="11" t="s">
        <v>211</v>
      </c>
      <c r="M149" s="15"/>
    </row>
    <row r="150" spans="1:14" ht="30" x14ac:dyDescent="0.2">
      <c r="A150" s="22" t="s">
        <v>210</v>
      </c>
      <c r="B150" s="23" t="s">
        <v>66</v>
      </c>
      <c r="C150" s="22" t="s">
        <v>105</v>
      </c>
      <c r="D150" s="11">
        <v>98021645</v>
      </c>
      <c r="E150" s="11" t="s">
        <v>209</v>
      </c>
      <c r="F150" s="11" t="s">
        <v>106</v>
      </c>
      <c r="G150" s="11">
        <v>97433</v>
      </c>
      <c r="H150" s="11" t="s">
        <v>105</v>
      </c>
      <c r="I150" s="11"/>
      <c r="J150" s="11"/>
      <c r="K150" s="11"/>
      <c r="L150" s="11"/>
      <c r="M150" s="15"/>
    </row>
    <row r="151" spans="1:14" ht="30" x14ac:dyDescent="0.2">
      <c r="A151" s="12" t="s">
        <v>208</v>
      </c>
      <c r="B151" s="39" t="s">
        <v>66</v>
      </c>
      <c r="C151" s="7" t="s">
        <v>51</v>
      </c>
      <c r="D151" s="5">
        <v>9812681</v>
      </c>
      <c r="E151" s="6" t="s">
        <v>207</v>
      </c>
      <c r="F151" s="38"/>
      <c r="G151" s="12">
        <v>97418</v>
      </c>
      <c r="H151" s="12" t="s">
        <v>206</v>
      </c>
      <c r="I151" s="38"/>
      <c r="J151" s="6" t="s">
        <v>205</v>
      </c>
      <c r="K151" s="38"/>
      <c r="L151" s="6" t="s">
        <v>204</v>
      </c>
    </row>
    <row r="152" spans="1:14" ht="45" x14ac:dyDescent="0.2">
      <c r="A152" s="12" t="s">
        <v>203</v>
      </c>
      <c r="B152" s="17" t="s">
        <v>77</v>
      </c>
      <c r="C152" s="31" t="s">
        <v>156</v>
      </c>
      <c r="D152" s="12">
        <v>98010063</v>
      </c>
      <c r="E152" s="12"/>
      <c r="F152" s="12"/>
      <c r="G152" s="12"/>
      <c r="H152" s="12"/>
      <c r="I152" s="12" t="s">
        <v>202</v>
      </c>
      <c r="J152" s="12" t="s">
        <v>201</v>
      </c>
      <c r="K152" s="11"/>
      <c r="L152" s="11" t="s">
        <v>200</v>
      </c>
      <c r="M152" s="15"/>
    </row>
    <row r="153" spans="1:14" ht="30" x14ac:dyDescent="0.2">
      <c r="A153" s="12" t="s">
        <v>199</v>
      </c>
      <c r="B153" s="8" t="s">
        <v>52</v>
      </c>
      <c r="C153" s="20" t="s">
        <v>91</v>
      </c>
      <c r="D153" s="12">
        <v>98214269</v>
      </c>
      <c r="E153" s="12" t="s">
        <v>198</v>
      </c>
      <c r="F153" s="12" t="s">
        <v>89</v>
      </c>
      <c r="G153" s="12">
        <v>97450</v>
      </c>
      <c r="H153" s="12" t="s">
        <v>88</v>
      </c>
      <c r="I153" s="12"/>
      <c r="J153" s="12" t="s">
        <v>197</v>
      </c>
      <c r="K153" s="11"/>
      <c r="L153" s="11"/>
      <c r="M153" s="15"/>
      <c r="N153" s="15"/>
    </row>
    <row r="154" spans="1:14" ht="30" x14ac:dyDescent="0.2">
      <c r="A154" s="12" t="s">
        <v>196</v>
      </c>
      <c r="B154" s="17" t="s">
        <v>77</v>
      </c>
      <c r="C154" s="20" t="s">
        <v>91</v>
      </c>
      <c r="D154" s="12">
        <v>98214350</v>
      </c>
      <c r="E154" s="12" t="s">
        <v>195</v>
      </c>
      <c r="F154" s="12" t="s">
        <v>194</v>
      </c>
      <c r="G154" s="12" t="s">
        <v>193</v>
      </c>
      <c r="H154" s="12" t="s">
        <v>192</v>
      </c>
      <c r="I154" s="12" t="s">
        <v>74</v>
      </c>
      <c r="J154" s="12" t="s">
        <v>191</v>
      </c>
      <c r="K154" s="11"/>
      <c r="L154" s="37" t="s">
        <v>190</v>
      </c>
      <c r="M154" s="15"/>
    </row>
    <row r="155" spans="1:14" ht="45" x14ac:dyDescent="0.2">
      <c r="A155" s="34" t="s">
        <v>189</v>
      </c>
      <c r="B155" s="36" t="s">
        <v>66</v>
      </c>
      <c r="C155" s="34" t="s">
        <v>140</v>
      </c>
      <c r="D155" s="34">
        <v>98006121</v>
      </c>
      <c r="E155" s="33" t="s">
        <v>186</v>
      </c>
      <c r="F155" s="34"/>
      <c r="G155" s="33">
        <v>97440</v>
      </c>
      <c r="H155" s="33" t="s">
        <v>185</v>
      </c>
      <c r="I155" s="34"/>
      <c r="J155" s="34"/>
      <c r="K155" s="33"/>
      <c r="L155" s="33" t="s">
        <v>188</v>
      </c>
      <c r="M155" s="15"/>
    </row>
    <row r="156" spans="1:14" ht="30" x14ac:dyDescent="0.2">
      <c r="A156" s="33" t="s">
        <v>187</v>
      </c>
      <c r="B156" s="35" t="s">
        <v>66</v>
      </c>
      <c r="C156" s="34" t="s">
        <v>156</v>
      </c>
      <c r="D156" s="33">
        <v>98009111</v>
      </c>
      <c r="E156" s="33" t="s">
        <v>186</v>
      </c>
      <c r="F156" s="33"/>
      <c r="G156" s="33">
        <v>97440</v>
      </c>
      <c r="H156" s="33" t="s">
        <v>185</v>
      </c>
      <c r="I156" s="33"/>
      <c r="J156" s="33"/>
      <c r="K156" s="33"/>
      <c r="L156" s="33" t="s">
        <v>184</v>
      </c>
      <c r="M156" s="32"/>
    </row>
    <row r="157" spans="1:14" ht="30" x14ac:dyDescent="0.2">
      <c r="A157" s="14" t="s">
        <v>183</v>
      </c>
      <c r="B157" s="17" t="s">
        <v>77</v>
      </c>
      <c r="C157" s="19" t="s">
        <v>82</v>
      </c>
      <c r="D157" s="12">
        <v>98016271</v>
      </c>
      <c r="E157" s="12" t="s">
        <v>182</v>
      </c>
      <c r="F157" s="12" t="s">
        <v>181</v>
      </c>
      <c r="G157" s="12" t="s">
        <v>168</v>
      </c>
      <c r="H157" s="12" t="s">
        <v>45</v>
      </c>
      <c r="I157" s="12" t="s">
        <v>180</v>
      </c>
      <c r="J157" s="12" t="s">
        <v>179</v>
      </c>
      <c r="K157" s="11"/>
      <c r="L157" s="11"/>
      <c r="M157" s="32"/>
    </row>
    <row r="158" spans="1:14" ht="30" x14ac:dyDescent="0.2">
      <c r="A158" s="12" t="s">
        <v>178</v>
      </c>
      <c r="B158" s="17" t="s">
        <v>77</v>
      </c>
      <c r="C158" s="19" t="s">
        <v>82</v>
      </c>
      <c r="D158" s="12">
        <v>98005127</v>
      </c>
      <c r="E158" s="12" t="s">
        <v>177</v>
      </c>
      <c r="F158" s="12" t="s">
        <v>176</v>
      </c>
      <c r="G158" s="12" t="s">
        <v>175</v>
      </c>
      <c r="H158" s="12" t="s">
        <v>174</v>
      </c>
      <c r="I158" s="12" t="s">
        <v>173</v>
      </c>
      <c r="J158" s="12" t="s">
        <v>172</v>
      </c>
      <c r="K158" s="11"/>
      <c r="L158" s="11"/>
      <c r="M158" s="15"/>
    </row>
    <row r="159" spans="1:14" ht="30" x14ac:dyDescent="0.2">
      <c r="A159" s="12" t="s">
        <v>171</v>
      </c>
      <c r="B159" s="17" t="s">
        <v>77</v>
      </c>
      <c r="C159" s="19" t="s">
        <v>82</v>
      </c>
      <c r="D159" s="12">
        <v>98316105</v>
      </c>
      <c r="E159" s="12" t="s">
        <v>170</v>
      </c>
      <c r="F159" s="12" t="s">
        <v>169</v>
      </c>
      <c r="G159" s="12" t="s">
        <v>168</v>
      </c>
      <c r="H159" s="12" t="s">
        <v>45</v>
      </c>
      <c r="I159" s="12" t="s">
        <v>167</v>
      </c>
      <c r="J159" s="12" t="s">
        <v>166</v>
      </c>
      <c r="K159" s="11"/>
      <c r="L159" s="11" t="s">
        <v>165</v>
      </c>
      <c r="M159" s="15"/>
    </row>
    <row r="160" spans="1:14" ht="45" x14ac:dyDescent="0.2">
      <c r="A160" s="12" t="s">
        <v>164</v>
      </c>
      <c r="B160" s="13" t="s">
        <v>66</v>
      </c>
      <c r="C160" s="30" t="s">
        <v>140</v>
      </c>
      <c r="D160" s="12">
        <v>98006103</v>
      </c>
      <c r="E160" s="12" t="s">
        <v>163</v>
      </c>
      <c r="F160" s="12" t="s">
        <v>162</v>
      </c>
      <c r="G160" s="12">
        <v>97431</v>
      </c>
      <c r="H160" s="12" t="s">
        <v>161</v>
      </c>
      <c r="I160" s="12" t="s">
        <v>160</v>
      </c>
      <c r="J160" s="12" t="s">
        <v>159</v>
      </c>
      <c r="K160" s="11"/>
      <c r="L160" s="11" t="s">
        <v>158</v>
      </c>
      <c r="M160" s="15"/>
    </row>
    <row r="161" spans="1:14" ht="30" x14ac:dyDescent="0.2">
      <c r="A161" s="12" t="s">
        <v>157</v>
      </c>
      <c r="B161" s="13" t="s">
        <v>66</v>
      </c>
      <c r="C161" s="31" t="s">
        <v>156</v>
      </c>
      <c r="D161" s="12">
        <v>98002074</v>
      </c>
      <c r="E161" s="12" t="s">
        <v>155</v>
      </c>
      <c r="F161" s="12"/>
      <c r="G161" s="12">
        <v>97412</v>
      </c>
      <c r="H161" s="12" t="s">
        <v>154</v>
      </c>
      <c r="I161" s="12"/>
      <c r="J161" s="12" t="s">
        <v>153</v>
      </c>
      <c r="K161" s="11"/>
      <c r="L161" s="11" t="s">
        <v>152</v>
      </c>
      <c r="M161" s="15"/>
      <c r="N161" s="15"/>
    </row>
    <row r="162" spans="1:14" ht="30" x14ac:dyDescent="0.2">
      <c r="A162" s="12" t="s">
        <v>151</v>
      </c>
      <c r="B162" s="17" t="s">
        <v>77</v>
      </c>
      <c r="C162" s="16" t="s">
        <v>76</v>
      </c>
      <c r="D162" s="12">
        <v>98213101</v>
      </c>
      <c r="E162" s="12" t="s">
        <v>150</v>
      </c>
      <c r="F162" s="12" t="s">
        <v>74</v>
      </c>
      <c r="G162" s="12">
        <v>97424</v>
      </c>
      <c r="H162" s="12" t="s">
        <v>149</v>
      </c>
      <c r="I162" s="12" t="s">
        <v>148</v>
      </c>
      <c r="J162" s="12" t="s">
        <v>147</v>
      </c>
      <c r="K162" s="11"/>
      <c r="L162" s="11"/>
      <c r="M162" s="15"/>
    </row>
    <row r="163" spans="1:14" ht="30" x14ac:dyDescent="0.2">
      <c r="A163" s="12" t="s">
        <v>146</v>
      </c>
      <c r="B163" s="17" t="s">
        <v>77</v>
      </c>
      <c r="C163" s="28" t="s">
        <v>38</v>
      </c>
      <c r="D163" s="12">
        <v>98212186</v>
      </c>
      <c r="E163" s="12" t="s">
        <v>145</v>
      </c>
      <c r="F163" s="12" t="s">
        <v>74</v>
      </c>
      <c r="G163" s="12" t="s">
        <v>129</v>
      </c>
      <c r="H163" s="12" t="s">
        <v>38</v>
      </c>
      <c r="I163" s="12" t="s">
        <v>144</v>
      </c>
      <c r="J163" s="12" t="s">
        <v>143</v>
      </c>
      <c r="K163" s="11"/>
      <c r="L163" s="11" t="s">
        <v>142</v>
      </c>
      <c r="M163" s="15"/>
      <c r="N163" s="15"/>
    </row>
    <row r="164" spans="1:14" ht="45" x14ac:dyDescent="0.2">
      <c r="A164" s="12" t="s">
        <v>141</v>
      </c>
      <c r="B164" s="17" t="s">
        <v>77</v>
      </c>
      <c r="C164" s="30" t="s">
        <v>140</v>
      </c>
      <c r="D164" s="12">
        <v>98110926</v>
      </c>
      <c r="E164" s="12" t="s">
        <v>139</v>
      </c>
      <c r="F164" s="12" t="s">
        <v>74</v>
      </c>
      <c r="G164" s="12" t="s">
        <v>138</v>
      </c>
      <c r="H164" s="12" t="s">
        <v>137</v>
      </c>
      <c r="I164" s="12" t="s">
        <v>136</v>
      </c>
      <c r="J164" s="12" t="s">
        <v>135</v>
      </c>
      <c r="K164" s="11"/>
      <c r="L164" s="11" t="s">
        <v>134</v>
      </c>
    </row>
    <row r="165" spans="1:14" ht="30" x14ac:dyDescent="0.2">
      <c r="A165" s="25" t="s">
        <v>133</v>
      </c>
      <c r="B165" s="26" t="s">
        <v>77</v>
      </c>
      <c r="C165" s="29" t="s">
        <v>38</v>
      </c>
      <c r="D165" s="25">
        <v>98212950</v>
      </c>
      <c r="E165" s="25" t="s">
        <v>131</v>
      </c>
      <c r="F165" s="25" t="s">
        <v>130</v>
      </c>
      <c r="G165" s="25" t="s">
        <v>129</v>
      </c>
      <c r="H165" s="25" t="s">
        <v>38</v>
      </c>
      <c r="I165" s="25" t="s">
        <v>128</v>
      </c>
      <c r="J165" s="25" t="s">
        <v>127</v>
      </c>
      <c r="K165" s="24"/>
      <c r="L165" s="11" t="s">
        <v>126</v>
      </c>
      <c r="M165" s="15"/>
    </row>
    <row r="166" spans="1:14" ht="30" x14ac:dyDescent="0.2">
      <c r="A166" s="12" t="s">
        <v>132</v>
      </c>
      <c r="B166" s="17" t="s">
        <v>77</v>
      </c>
      <c r="C166" s="28" t="s">
        <v>38</v>
      </c>
      <c r="D166" s="12">
        <v>98012392</v>
      </c>
      <c r="E166" s="12" t="s">
        <v>131</v>
      </c>
      <c r="F166" s="12" t="s">
        <v>130</v>
      </c>
      <c r="G166" s="12" t="s">
        <v>129</v>
      </c>
      <c r="H166" s="12" t="s">
        <v>38</v>
      </c>
      <c r="I166" s="12" t="s">
        <v>128</v>
      </c>
      <c r="J166" s="12" t="s">
        <v>127</v>
      </c>
      <c r="K166" s="11"/>
      <c r="L166" s="11" t="s">
        <v>126</v>
      </c>
      <c r="M166" s="15"/>
    </row>
    <row r="167" spans="1:14" ht="30" x14ac:dyDescent="0.2">
      <c r="A167" s="12" t="s">
        <v>125</v>
      </c>
      <c r="B167" s="17" t="s">
        <v>77</v>
      </c>
      <c r="C167" s="28" t="s">
        <v>38</v>
      </c>
      <c r="D167" s="12">
        <v>98212191</v>
      </c>
      <c r="E167" s="12" t="s">
        <v>124</v>
      </c>
      <c r="F167" s="12" t="s">
        <v>117</v>
      </c>
      <c r="G167" s="12" t="s">
        <v>123</v>
      </c>
      <c r="H167" s="12" t="s">
        <v>38</v>
      </c>
      <c r="I167" s="12" t="s">
        <v>122</v>
      </c>
      <c r="J167" s="12" t="s">
        <v>121</v>
      </c>
      <c r="K167" s="11"/>
      <c r="L167" s="11" t="s">
        <v>120</v>
      </c>
      <c r="M167" s="15"/>
      <c r="N167" s="15"/>
    </row>
    <row r="168" spans="1:14" ht="30" x14ac:dyDescent="0.2">
      <c r="A168" s="12" t="s">
        <v>119</v>
      </c>
      <c r="B168" s="17" t="s">
        <v>77</v>
      </c>
      <c r="C168" s="28" t="s">
        <v>38</v>
      </c>
      <c r="D168" s="12">
        <v>98012220</v>
      </c>
      <c r="E168" s="12" t="s">
        <v>118</v>
      </c>
      <c r="F168" s="12" t="s">
        <v>117</v>
      </c>
      <c r="G168" s="12">
        <v>97480</v>
      </c>
      <c r="H168" s="12" t="s">
        <v>38</v>
      </c>
      <c r="I168" s="12" t="s">
        <v>116</v>
      </c>
      <c r="J168" s="12" t="s">
        <v>115</v>
      </c>
      <c r="K168" s="11"/>
      <c r="L168" s="11" t="s">
        <v>114</v>
      </c>
      <c r="M168" s="15"/>
    </row>
    <row r="169" spans="1:14" x14ac:dyDescent="0.2">
      <c r="A169" s="27" t="s">
        <v>113</v>
      </c>
      <c r="B169" s="26" t="s">
        <v>77</v>
      </c>
      <c r="C169" s="22" t="s">
        <v>105</v>
      </c>
      <c r="D169" s="25">
        <v>98021590</v>
      </c>
      <c r="E169" s="25" t="s">
        <v>112</v>
      </c>
      <c r="F169" s="25" t="s">
        <v>106</v>
      </c>
      <c r="G169" s="25" t="s">
        <v>111</v>
      </c>
      <c r="H169" s="25" t="s">
        <v>105</v>
      </c>
      <c r="I169" s="25" t="s">
        <v>110</v>
      </c>
      <c r="J169" s="25" t="s">
        <v>109</v>
      </c>
      <c r="K169" s="24"/>
      <c r="L169" s="11"/>
    </row>
    <row r="170" spans="1:14" x14ac:dyDescent="0.2">
      <c r="A170" s="22" t="s">
        <v>108</v>
      </c>
      <c r="B170" s="23" t="s">
        <v>66</v>
      </c>
      <c r="C170" s="22" t="s">
        <v>105</v>
      </c>
      <c r="D170" s="11">
        <v>98021093</v>
      </c>
      <c r="E170" s="11" t="s">
        <v>107</v>
      </c>
      <c r="F170" s="11" t="s">
        <v>106</v>
      </c>
      <c r="G170" s="11">
        <v>97433</v>
      </c>
      <c r="H170" s="11" t="s">
        <v>105</v>
      </c>
      <c r="I170" s="11" t="s">
        <v>104</v>
      </c>
      <c r="J170" s="11" t="s">
        <v>103</v>
      </c>
      <c r="K170" s="11"/>
      <c r="L170" s="11" t="s">
        <v>102</v>
      </c>
      <c r="M170" s="15"/>
    </row>
    <row r="171" spans="1:14" ht="30" x14ac:dyDescent="0.2">
      <c r="A171" s="9" t="s">
        <v>101</v>
      </c>
      <c r="B171" s="8" t="s">
        <v>52</v>
      </c>
      <c r="C171" s="20" t="s">
        <v>91</v>
      </c>
      <c r="D171" s="9">
        <v>98014182</v>
      </c>
      <c r="E171" s="9" t="s">
        <v>100</v>
      </c>
      <c r="F171" s="9"/>
      <c r="G171" s="9">
        <v>97450</v>
      </c>
      <c r="H171" s="9" t="s">
        <v>88</v>
      </c>
      <c r="I171" s="9"/>
      <c r="J171" s="9" t="s">
        <v>99</v>
      </c>
      <c r="K171" s="9"/>
      <c r="L171" s="21" t="s">
        <v>98</v>
      </c>
    </row>
    <row r="172" spans="1:14" ht="30" x14ac:dyDescent="0.2">
      <c r="A172" s="12" t="s">
        <v>97</v>
      </c>
      <c r="B172" s="17" t="s">
        <v>77</v>
      </c>
      <c r="C172" s="10" t="s">
        <v>58</v>
      </c>
      <c r="D172" s="12">
        <v>98023248</v>
      </c>
      <c r="E172" s="12" t="s">
        <v>96</v>
      </c>
      <c r="F172" s="12" t="s">
        <v>74</v>
      </c>
      <c r="G172" s="12" t="s">
        <v>95</v>
      </c>
      <c r="H172" s="12" t="s">
        <v>94</v>
      </c>
      <c r="I172" s="12"/>
      <c r="J172" s="12" t="s">
        <v>93</v>
      </c>
      <c r="K172" s="11"/>
      <c r="L172" s="11"/>
      <c r="M172" s="15"/>
    </row>
    <row r="173" spans="1:14" ht="30" x14ac:dyDescent="0.2">
      <c r="A173" s="11" t="s">
        <v>92</v>
      </c>
      <c r="B173" s="8" t="s">
        <v>52</v>
      </c>
      <c r="C173" s="20" t="s">
        <v>91</v>
      </c>
      <c r="D173" s="12">
        <v>98214456</v>
      </c>
      <c r="E173" s="12" t="s">
        <v>90</v>
      </c>
      <c r="F173" s="12" t="s">
        <v>89</v>
      </c>
      <c r="G173" s="12">
        <v>97450</v>
      </c>
      <c r="H173" s="12" t="s">
        <v>88</v>
      </c>
      <c r="I173" s="12" t="s">
        <v>74</v>
      </c>
      <c r="J173" s="12" t="s">
        <v>87</v>
      </c>
      <c r="K173" s="11"/>
      <c r="L173" s="11"/>
      <c r="M173" s="15"/>
      <c r="N173" s="15"/>
    </row>
    <row r="174" spans="1:14" ht="30" x14ac:dyDescent="0.2">
      <c r="A174" s="9" t="s">
        <v>86</v>
      </c>
      <c r="B174" s="8" t="s">
        <v>52</v>
      </c>
      <c r="C174" s="19" t="s">
        <v>82</v>
      </c>
      <c r="D174" s="9">
        <v>98016593</v>
      </c>
      <c r="E174" s="9" t="s">
        <v>85</v>
      </c>
      <c r="F174" s="9"/>
      <c r="G174" s="9">
        <v>97410</v>
      </c>
      <c r="H174" s="9" t="s">
        <v>80</v>
      </c>
      <c r="I174" s="9"/>
      <c r="J174" s="9" t="s">
        <v>84</v>
      </c>
      <c r="K174" s="9"/>
      <c r="L174" s="9"/>
      <c r="N174" s="15"/>
    </row>
    <row r="175" spans="1:14" ht="30" x14ac:dyDescent="0.2">
      <c r="A175" s="9" t="s">
        <v>83</v>
      </c>
      <c r="B175" s="8" t="s">
        <v>52</v>
      </c>
      <c r="C175" s="19" t="s">
        <v>82</v>
      </c>
      <c r="D175" s="9">
        <v>98016461</v>
      </c>
      <c r="E175" s="9" t="s">
        <v>81</v>
      </c>
      <c r="F175" s="9"/>
      <c r="G175" s="9">
        <v>97410</v>
      </c>
      <c r="H175" s="9" t="s">
        <v>80</v>
      </c>
      <c r="I175" s="9"/>
      <c r="J175" s="9" t="s">
        <v>79</v>
      </c>
      <c r="K175" s="9"/>
      <c r="L175" s="18"/>
    </row>
    <row r="176" spans="1:14" x14ac:dyDescent="0.2">
      <c r="A176" s="12" t="s">
        <v>78</v>
      </c>
      <c r="B176" s="17" t="s">
        <v>77</v>
      </c>
      <c r="C176" s="16" t="s">
        <v>76</v>
      </c>
      <c r="D176" s="12">
        <v>98001166</v>
      </c>
      <c r="E176" s="12" t="s">
        <v>75</v>
      </c>
      <c r="F176" s="12" t="s">
        <v>74</v>
      </c>
      <c r="G176" s="12" t="s">
        <v>73</v>
      </c>
      <c r="H176" s="12" t="s">
        <v>72</v>
      </c>
      <c r="I176" s="12" t="s">
        <v>71</v>
      </c>
      <c r="J176" s="12" t="s">
        <v>70</v>
      </c>
      <c r="K176" s="11" t="s">
        <v>69</v>
      </c>
      <c r="L176" s="11" t="s">
        <v>68</v>
      </c>
      <c r="M176" s="15"/>
    </row>
    <row r="177" spans="1:12" ht="30" x14ac:dyDescent="0.2">
      <c r="A177" s="14" t="s">
        <v>67</v>
      </c>
      <c r="B177" s="13" t="s">
        <v>66</v>
      </c>
      <c r="C177" s="10" t="s">
        <v>58</v>
      </c>
      <c r="D177" s="12">
        <v>98108023</v>
      </c>
      <c r="E177" s="12" t="s">
        <v>65</v>
      </c>
      <c r="F177" s="12" t="s">
        <v>64</v>
      </c>
      <c r="G177" s="12" t="s">
        <v>63</v>
      </c>
      <c r="H177" s="12" t="s">
        <v>62</v>
      </c>
      <c r="I177" s="12" t="s">
        <v>61</v>
      </c>
      <c r="J177" s="12" t="s">
        <v>60</v>
      </c>
      <c r="K177" s="11"/>
      <c r="L177" s="11"/>
    </row>
    <row r="178" spans="1:12" ht="30" x14ac:dyDescent="0.2">
      <c r="A178" s="6" t="s">
        <v>59</v>
      </c>
      <c r="B178" s="8" t="s">
        <v>52</v>
      </c>
      <c r="C178" s="10" t="s">
        <v>58</v>
      </c>
      <c r="D178" s="6">
        <v>98023314</v>
      </c>
      <c r="E178" s="6" t="s">
        <v>57</v>
      </c>
      <c r="F178" s="6"/>
      <c r="G178" s="6">
        <v>97426</v>
      </c>
      <c r="H178" s="9" t="s">
        <v>56</v>
      </c>
      <c r="I178" s="6"/>
      <c r="J178" s="6" t="s">
        <v>55</v>
      </c>
      <c r="K178" s="6"/>
      <c r="L178" s="5" t="s">
        <v>54</v>
      </c>
    </row>
    <row r="179" spans="1:12" ht="30" x14ac:dyDescent="0.2">
      <c r="A179" s="6" t="s">
        <v>53</v>
      </c>
      <c r="B179" s="8" t="s">
        <v>52</v>
      </c>
      <c r="C179" s="7" t="s">
        <v>51</v>
      </c>
      <c r="D179" s="6">
        <v>98022769</v>
      </c>
      <c r="E179" s="6" t="s">
        <v>50</v>
      </c>
      <c r="F179" s="6"/>
      <c r="G179" s="6">
        <v>97430</v>
      </c>
      <c r="H179" s="6" t="s">
        <v>49</v>
      </c>
      <c r="I179" s="6"/>
      <c r="J179" s="6" t="s">
        <v>48</v>
      </c>
      <c r="K179" s="6"/>
      <c r="L179" s="5" t="s">
        <v>47</v>
      </c>
    </row>
  </sheetData>
  <hyperlinks>
    <hyperlink ref="L72" r:id="rId1" xr:uid="{894906C9-ED4A-B040-B1B2-0B169BEA0D59}"/>
    <hyperlink ref="L40" r:id="rId2" xr:uid="{1D454EAA-26FB-F942-82CF-D7FFF28C76BE}"/>
  </hyperlinks>
  <pageMargins left="0.7" right="0.7" top="0.75" bottom="0.75" header="0.3" footer="0.3"/>
  <pageSetup paperSize="9" orientation="portrait" verticalDpi="0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Resultat</vt:lpstr>
      <vt:lpstr>Elevage</vt:lpstr>
      <vt:lpstr>Sheet 1</vt:lpstr>
      <vt:lpstr>Annalyse Facteur de risque</vt:lpstr>
      <vt:lpstr>AAA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Faycal Khetim</dc:creator>
  <cp:lastModifiedBy>Faycal Khetim</cp:lastModifiedBy>
  <dcterms:created xsi:type="dcterms:W3CDTF">2026-03-16T07:06:09Z</dcterms:created>
  <dcterms:modified xsi:type="dcterms:W3CDTF">2026-08-19T12:16:32Z</dcterms:modified>
</cp:coreProperties>
</file>